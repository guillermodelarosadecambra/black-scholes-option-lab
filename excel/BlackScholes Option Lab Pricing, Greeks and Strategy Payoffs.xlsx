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bcaa156fe291f4/Desktop/CQF/Github/"/>
    </mc:Choice>
  </mc:AlternateContent>
  <xr:revisionPtr revIDLastSave="526" documentId="8_{C8C8AC34-E105-429E-A889-E2ED1592D0C4}" xr6:coauthVersionLast="47" xr6:coauthVersionMax="47" xr10:uidLastSave="{D32E1958-FC8A-4C9F-B538-F2F281285371}"/>
  <bookViews>
    <workbookView xWindow="-98" yWindow="-98" windowWidth="28996" windowHeight="15675" xr2:uid="{EE15000A-DD12-4099-9CE4-0D6EEDFEED82}"/>
  </bookViews>
  <sheets>
    <sheet name="DashboardBlack-Scholes Option P" sheetId="3" r:id="rId1"/>
    <sheet name="Input_Pricing" sheetId="1" r:id="rId2"/>
    <sheet name="SensitivityBlack-Scholes Se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3" l="1"/>
  <c r="E10" i="3"/>
  <c r="E11" i="3"/>
  <c r="E12" i="3"/>
  <c r="E13" i="3"/>
  <c r="E8" i="3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J66" i="2" s="1"/>
  <c r="F67" i="2"/>
  <c r="F68" i="2"/>
  <c r="F52" i="2"/>
  <c r="X9" i="2"/>
  <c r="AB9" i="2" s="1"/>
  <c r="X10" i="2"/>
  <c r="X11" i="2"/>
  <c r="X12" i="2"/>
  <c r="X13" i="2"/>
  <c r="X14" i="2"/>
  <c r="X15" i="2"/>
  <c r="X8" i="2"/>
  <c r="N9" i="2"/>
  <c r="N10" i="2"/>
  <c r="P10" i="2" s="1"/>
  <c r="N11" i="2"/>
  <c r="N12" i="2"/>
  <c r="N13" i="2"/>
  <c r="N14" i="2"/>
  <c r="N15" i="2"/>
  <c r="N16" i="2"/>
  <c r="N17" i="2"/>
  <c r="N8" i="2"/>
  <c r="D9" i="2"/>
  <c r="D10" i="2"/>
  <c r="D11" i="2"/>
  <c r="D12" i="2"/>
  <c r="E12" i="2" s="1"/>
  <c r="D13" i="2"/>
  <c r="E13" i="2" s="1"/>
  <c r="D14" i="2"/>
  <c r="E14" i="2" s="1"/>
  <c r="D15" i="2"/>
  <c r="D16" i="2"/>
  <c r="D17" i="2"/>
  <c r="D18" i="2"/>
  <c r="D19" i="2"/>
  <c r="D20" i="2"/>
  <c r="D21" i="2"/>
  <c r="D22" i="2"/>
  <c r="D23" i="2"/>
  <c r="D24" i="2"/>
  <c r="D8" i="2"/>
  <c r="C24" i="1"/>
  <c r="C15" i="1"/>
  <c r="C16" i="1" l="1"/>
  <c r="C19" i="1"/>
  <c r="C29" i="1"/>
  <c r="C17" i="1"/>
  <c r="G66" i="2"/>
  <c r="I66" i="2" s="1"/>
  <c r="H66" i="2"/>
  <c r="N66" i="2"/>
  <c r="M66" i="2"/>
  <c r="J52" i="2"/>
  <c r="G52" i="2"/>
  <c r="I52" i="2" s="1"/>
  <c r="H52" i="2"/>
  <c r="H53" i="2"/>
  <c r="J53" i="2"/>
  <c r="G53" i="2"/>
  <c r="I53" i="2" s="1"/>
  <c r="J54" i="2"/>
  <c r="G54" i="2"/>
  <c r="I54" i="2" s="1"/>
  <c r="H54" i="2"/>
  <c r="G55" i="2"/>
  <c r="I55" i="2" s="1"/>
  <c r="H55" i="2"/>
  <c r="J55" i="2"/>
  <c r="H56" i="2"/>
  <c r="G56" i="2"/>
  <c r="I56" i="2" s="1"/>
  <c r="J56" i="2"/>
  <c r="H57" i="2"/>
  <c r="G57" i="2"/>
  <c r="I57" i="2" s="1"/>
  <c r="J57" i="2"/>
  <c r="H58" i="2"/>
  <c r="G58" i="2"/>
  <c r="I58" i="2" s="1"/>
  <c r="J58" i="2"/>
  <c r="H59" i="2"/>
  <c r="J59" i="2"/>
  <c r="G59" i="2"/>
  <c r="I59" i="2" s="1"/>
  <c r="J60" i="2"/>
  <c r="H60" i="2"/>
  <c r="G60" i="2"/>
  <c r="I60" i="2" s="1"/>
  <c r="G61" i="2"/>
  <c r="I61" i="2" s="1"/>
  <c r="H61" i="2"/>
  <c r="J61" i="2"/>
  <c r="H62" i="2"/>
  <c r="G62" i="2"/>
  <c r="I62" i="2" s="1"/>
  <c r="J62" i="2"/>
  <c r="J63" i="2"/>
  <c r="G63" i="2"/>
  <c r="I63" i="2" s="1"/>
  <c r="H63" i="2"/>
  <c r="G64" i="2"/>
  <c r="I64" i="2" s="1"/>
  <c r="H64" i="2"/>
  <c r="J64" i="2"/>
  <c r="J65" i="2"/>
  <c r="H65" i="2"/>
  <c r="G65" i="2"/>
  <c r="I65" i="2" s="1"/>
  <c r="J67" i="2"/>
  <c r="H67" i="2"/>
  <c r="G67" i="2"/>
  <c r="I67" i="2" s="1"/>
  <c r="G68" i="2"/>
  <c r="I68" i="2" s="1"/>
  <c r="H68" i="2"/>
  <c r="J68" i="2"/>
  <c r="Y9" i="2"/>
  <c r="Z9" i="2"/>
  <c r="Z10" i="2"/>
  <c r="Y10" i="2"/>
  <c r="AB10" i="2"/>
  <c r="Y11" i="2"/>
  <c r="AB11" i="2"/>
  <c r="Z11" i="2"/>
  <c r="Z12" i="2"/>
  <c r="Y12" i="2"/>
  <c r="AB12" i="2"/>
  <c r="Z13" i="2"/>
  <c r="Y13" i="2"/>
  <c r="AB13" i="2"/>
  <c r="Y14" i="2"/>
  <c r="Z14" i="2"/>
  <c r="AB14" i="2"/>
  <c r="Z15" i="2"/>
  <c r="AB15" i="2"/>
  <c r="Y15" i="2"/>
  <c r="AB8" i="2"/>
  <c r="Y8" i="2"/>
  <c r="Z8" i="2"/>
  <c r="O8" i="2"/>
  <c r="R8" i="2"/>
  <c r="P8" i="2"/>
  <c r="O9" i="2"/>
  <c r="R9" i="2"/>
  <c r="P9" i="2"/>
  <c r="R10" i="2"/>
  <c r="O10" i="2"/>
  <c r="P11" i="2"/>
  <c r="O11" i="2"/>
  <c r="R11" i="2"/>
  <c r="P12" i="2"/>
  <c r="O12" i="2"/>
  <c r="R12" i="2"/>
  <c r="O13" i="2"/>
  <c r="P13" i="2"/>
  <c r="R13" i="2"/>
  <c r="P14" i="2"/>
  <c r="O14" i="2"/>
  <c r="R14" i="2"/>
  <c r="O15" i="2"/>
  <c r="R15" i="2"/>
  <c r="P15" i="2"/>
  <c r="O16" i="2"/>
  <c r="P16" i="2"/>
  <c r="R16" i="2"/>
  <c r="P17" i="2"/>
  <c r="R17" i="2"/>
  <c r="O17" i="2"/>
  <c r="H9" i="2"/>
  <c r="F9" i="2"/>
  <c r="E9" i="2"/>
  <c r="H10" i="2"/>
  <c r="F10" i="2"/>
  <c r="E10" i="2"/>
  <c r="H11" i="2"/>
  <c r="E11" i="2"/>
  <c r="F11" i="2"/>
  <c r="G12" i="2"/>
  <c r="I12" i="2"/>
  <c r="I13" i="2"/>
  <c r="G13" i="2"/>
  <c r="G14" i="2"/>
  <c r="I14" i="2"/>
  <c r="H12" i="2"/>
  <c r="F12" i="2"/>
  <c r="H13" i="2"/>
  <c r="F13" i="2"/>
  <c r="F14" i="2"/>
  <c r="J14" i="2" s="1"/>
  <c r="H14" i="2"/>
  <c r="H15" i="2"/>
  <c r="E15" i="2"/>
  <c r="F15" i="2"/>
  <c r="H16" i="2"/>
  <c r="E16" i="2"/>
  <c r="F16" i="2"/>
  <c r="E17" i="2"/>
  <c r="H17" i="2"/>
  <c r="F17" i="2"/>
  <c r="H18" i="2"/>
  <c r="F18" i="2"/>
  <c r="E18" i="2"/>
  <c r="E19" i="2"/>
  <c r="H19" i="2"/>
  <c r="F19" i="2"/>
  <c r="H20" i="2"/>
  <c r="F20" i="2"/>
  <c r="E20" i="2"/>
  <c r="H21" i="2"/>
  <c r="E21" i="2"/>
  <c r="F21" i="2"/>
  <c r="F22" i="2"/>
  <c r="H22" i="2"/>
  <c r="E22" i="2"/>
  <c r="H23" i="2"/>
  <c r="E23" i="2"/>
  <c r="F23" i="2"/>
  <c r="F24" i="2"/>
  <c r="H24" i="2"/>
  <c r="E24" i="2"/>
  <c r="H8" i="2"/>
  <c r="E8" i="2"/>
  <c r="F8" i="2"/>
  <c r="C20" i="1" l="1"/>
  <c r="C18" i="1"/>
  <c r="C36" i="1" s="1"/>
  <c r="N14" i="3" s="1"/>
  <c r="C34" i="1"/>
  <c r="N12" i="3" s="1"/>
  <c r="C32" i="1"/>
  <c r="N10" i="3" s="1"/>
  <c r="C35" i="1"/>
  <c r="N13" i="3" s="1"/>
  <c r="C33" i="1"/>
  <c r="N11" i="3" s="1"/>
  <c r="C21" i="1"/>
  <c r="J8" i="3" s="1"/>
  <c r="C30" i="1"/>
  <c r="N8" i="3" s="1"/>
  <c r="C31" i="1"/>
  <c r="N9" i="3" s="1"/>
  <c r="L66" i="2"/>
  <c r="K66" i="2"/>
  <c r="M52" i="2"/>
  <c r="N52" i="2"/>
  <c r="K52" i="2"/>
  <c r="L52" i="2"/>
  <c r="K53" i="2"/>
  <c r="L53" i="2"/>
  <c r="M53" i="2"/>
  <c r="N53" i="2"/>
  <c r="N54" i="2"/>
  <c r="M54" i="2"/>
  <c r="K54" i="2"/>
  <c r="L54" i="2"/>
  <c r="K55" i="2"/>
  <c r="L55" i="2"/>
  <c r="N55" i="2"/>
  <c r="M55" i="2"/>
  <c r="K56" i="2"/>
  <c r="L56" i="2"/>
  <c r="N56" i="2"/>
  <c r="M56" i="2"/>
  <c r="L57" i="2"/>
  <c r="K57" i="2"/>
  <c r="N57" i="2"/>
  <c r="M57" i="2"/>
  <c r="L58" i="2"/>
  <c r="K58" i="2"/>
  <c r="M58" i="2"/>
  <c r="N58" i="2"/>
  <c r="L59" i="2"/>
  <c r="K59" i="2"/>
  <c r="N59" i="2"/>
  <c r="M59" i="2"/>
  <c r="N60" i="2"/>
  <c r="M60" i="2"/>
  <c r="K60" i="2"/>
  <c r="L60" i="2"/>
  <c r="K61" i="2"/>
  <c r="L61" i="2"/>
  <c r="N61" i="2"/>
  <c r="M61" i="2"/>
  <c r="K62" i="2"/>
  <c r="L62" i="2"/>
  <c r="M62" i="2"/>
  <c r="N62" i="2"/>
  <c r="M63" i="2"/>
  <c r="N63" i="2"/>
  <c r="L63" i="2"/>
  <c r="K63" i="2"/>
  <c r="K64" i="2"/>
  <c r="L64" i="2"/>
  <c r="M64" i="2"/>
  <c r="N64" i="2"/>
  <c r="N65" i="2"/>
  <c r="M65" i="2"/>
  <c r="L65" i="2"/>
  <c r="K65" i="2"/>
  <c r="M67" i="2"/>
  <c r="N67" i="2"/>
  <c r="L67" i="2"/>
  <c r="K67" i="2"/>
  <c r="L68" i="2"/>
  <c r="K68" i="2"/>
  <c r="N68" i="2"/>
  <c r="M68" i="2"/>
  <c r="AA9" i="2"/>
  <c r="AD9" i="2" s="1"/>
  <c r="AC9" i="2"/>
  <c r="AE9" i="2" s="1"/>
  <c r="AC10" i="2"/>
  <c r="AE10" i="2" s="1"/>
  <c r="AA10" i="2"/>
  <c r="AD10" i="2" s="1"/>
  <c r="AA11" i="2"/>
  <c r="AD11" i="2" s="1"/>
  <c r="AC11" i="2"/>
  <c r="AE11" i="2" s="1"/>
  <c r="AC12" i="2"/>
  <c r="AE12" i="2" s="1"/>
  <c r="AA12" i="2"/>
  <c r="AD12" i="2" s="1"/>
  <c r="AC13" i="2"/>
  <c r="AE13" i="2" s="1"/>
  <c r="AA13" i="2"/>
  <c r="AD13" i="2" s="1"/>
  <c r="AC14" i="2"/>
  <c r="AE14" i="2" s="1"/>
  <c r="AA14" i="2"/>
  <c r="AD14" i="2" s="1"/>
  <c r="AA15" i="2"/>
  <c r="AD15" i="2" s="1"/>
  <c r="AC15" i="2"/>
  <c r="AE15" i="2" s="1"/>
  <c r="AA8" i="2"/>
  <c r="AD8" i="2" s="1"/>
  <c r="AC8" i="2"/>
  <c r="AE8" i="2" s="1"/>
  <c r="S8" i="2"/>
  <c r="U8" i="2" s="1"/>
  <c r="Q8" i="2"/>
  <c r="T8" i="2" s="1"/>
  <c r="S9" i="2"/>
  <c r="U9" i="2" s="1"/>
  <c r="Q9" i="2"/>
  <c r="T9" i="2" s="1"/>
  <c r="S10" i="2"/>
  <c r="U10" i="2" s="1"/>
  <c r="Q10" i="2"/>
  <c r="T10" i="2" s="1"/>
  <c r="S11" i="2"/>
  <c r="U11" i="2" s="1"/>
  <c r="Q11" i="2"/>
  <c r="T11" i="2" s="1"/>
  <c r="S12" i="2"/>
  <c r="U12" i="2" s="1"/>
  <c r="Q12" i="2"/>
  <c r="T12" i="2" s="1"/>
  <c r="S13" i="2"/>
  <c r="U13" i="2" s="1"/>
  <c r="Q13" i="2"/>
  <c r="T13" i="2" s="1"/>
  <c r="S14" i="2"/>
  <c r="U14" i="2" s="1"/>
  <c r="Q14" i="2"/>
  <c r="T14" i="2" s="1"/>
  <c r="S15" i="2"/>
  <c r="U15" i="2" s="1"/>
  <c r="Q15" i="2"/>
  <c r="T15" i="2" s="1"/>
  <c r="Q16" i="2"/>
  <c r="T16" i="2" s="1"/>
  <c r="S16" i="2"/>
  <c r="U16" i="2" s="1"/>
  <c r="Q17" i="2"/>
  <c r="T17" i="2" s="1"/>
  <c r="S17" i="2"/>
  <c r="U17" i="2" s="1"/>
  <c r="K12" i="2"/>
  <c r="K13" i="2"/>
  <c r="I9" i="2"/>
  <c r="K9" i="2" s="1"/>
  <c r="G9" i="2"/>
  <c r="J9" i="2" s="1"/>
  <c r="I10" i="2"/>
  <c r="K10" i="2" s="1"/>
  <c r="G10" i="2"/>
  <c r="J10" i="2" s="1"/>
  <c r="I11" i="2"/>
  <c r="K11" i="2" s="1"/>
  <c r="G11" i="2"/>
  <c r="J11" i="2" s="1"/>
  <c r="I15" i="2"/>
  <c r="K15" i="2" s="1"/>
  <c r="G15" i="2"/>
  <c r="J15" i="2" s="1"/>
  <c r="I16" i="2"/>
  <c r="K16" i="2" s="1"/>
  <c r="G16" i="2"/>
  <c r="J16" i="2" s="1"/>
  <c r="G17" i="2"/>
  <c r="J17" i="2" s="1"/>
  <c r="I17" i="2"/>
  <c r="K17" i="2" s="1"/>
  <c r="I18" i="2"/>
  <c r="K18" i="2" s="1"/>
  <c r="G18" i="2"/>
  <c r="J18" i="2" s="1"/>
  <c r="G19" i="2"/>
  <c r="J19" i="2" s="1"/>
  <c r="I19" i="2"/>
  <c r="K19" i="2" s="1"/>
  <c r="I20" i="2"/>
  <c r="K20" i="2" s="1"/>
  <c r="G20" i="2"/>
  <c r="J20" i="2" s="1"/>
  <c r="I21" i="2"/>
  <c r="K21" i="2" s="1"/>
  <c r="G21" i="2"/>
  <c r="J21" i="2" s="1"/>
  <c r="G22" i="2"/>
  <c r="J22" i="2" s="1"/>
  <c r="I22" i="2"/>
  <c r="K22" i="2" s="1"/>
  <c r="G23" i="2"/>
  <c r="J23" i="2" s="1"/>
  <c r="I23" i="2"/>
  <c r="K23" i="2" s="1"/>
  <c r="I24" i="2"/>
  <c r="K24" i="2" s="1"/>
  <c r="G24" i="2"/>
  <c r="J24" i="2" s="1"/>
  <c r="G8" i="2"/>
  <c r="J8" i="2" s="1"/>
  <c r="I8" i="2"/>
  <c r="K8" i="2" s="1"/>
  <c r="K14" i="2"/>
  <c r="J12" i="2"/>
  <c r="J13" i="2"/>
  <c r="C22" i="1" l="1"/>
  <c r="C37" i="1"/>
  <c r="N15" i="3" s="1"/>
  <c r="J9" i="3" l="1"/>
  <c r="C23" i="1"/>
  <c r="C25" i="1" s="1"/>
</calcChain>
</file>

<file path=xl/sharedStrings.xml><?xml version="1.0" encoding="utf-8"?>
<sst xmlns="http://schemas.openxmlformats.org/spreadsheetml/2006/main" count="143" uniqueCount="96">
  <si>
    <t xml:space="preserve">Input </t>
  </si>
  <si>
    <t xml:space="preserve">Value </t>
  </si>
  <si>
    <t>Description</t>
  </si>
  <si>
    <t xml:space="preserve">Spot price </t>
  </si>
  <si>
    <t xml:space="preserve">Current price of the underlying asset </t>
  </si>
  <si>
    <t xml:space="preserve">Strike price </t>
  </si>
  <si>
    <t xml:space="preserve">Time to maturity </t>
  </si>
  <si>
    <t xml:space="preserve">Time until expiration in years </t>
  </si>
  <si>
    <t xml:space="preserve">Risk free rate </t>
  </si>
  <si>
    <t xml:space="preserve">Annual Risk-free interest rate </t>
  </si>
  <si>
    <t xml:space="preserve">Annual vol of the underlying asset </t>
  </si>
  <si>
    <t xml:space="preserve">dividend yield </t>
  </si>
  <si>
    <t xml:space="preserve">Annual dividend yield </t>
  </si>
  <si>
    <t xml:space="preserve">Volatility </t>
  </si>
  <si>
    <t>Symbol</t>
  </si>
  <si>
    <t>S0</t>
  </si>
  <si>
    <t>K</t>
  </si>
  <si>
    <t>T</t>
  </si>
  <si>
    <t>r</t>
  </si>
  <si>
    <t xml:space="preserve">σ </t>
  </si>
  <si>
    <t>q</t>
  </si>
  <si>
    <t>Calculation</t>
  </si>
  <si>
    <t xml:space="preserve">Formula / Value </t>
  </si>
  <si>
    <t>Explanation</t>
  </si>
  <si>
    <t>d1</t>
  </si>
  <si>
    <t>d2</t>
  </si>
  <si>
    <t>d1 = [ln(S0/K) + (r - q + 0.5σ²)T] / [σ√T]</t>
  </si>
  <si>
    <t>d2 = d1 - σ√T</t>
  </si>
  <si>
    <t>Standardised distance to the strike adjusted for drift and volatility</t>
  </si>
  <si>
    <t>d2 equals d1 minus one volatility-adjusted time step</t>
  </si>
  <si>
    <t>Black-Scholes Option Pricing Model</t>
  </si>
  <si>
    <t>Exercise price of the option</t>
  </si>
  <si>
    <t>N(d1)</t>
  </si>
  <si>
    <t>N(d2)</t>
  </si>
  <si>
    <t>N(-d1)</t>
  </si>
  <si>
    <t>N(-d2)</t>
  </si>
  <si>
    <t>Call</t>
  </si>
  <si>
    <t xml:space="preserve">Put </t>
  </si>
  <si>
    <t>Call = S0 e^(-qT) N(d1) - K e^(-rT) N(d2)</t>
  </si>
  <si>
    <t>Put = K e^(-rT) N(-d2) - S0 e^(-qT) N(-d1)</t>
  </si>
  <si>
    <t>Put-call parity LHS</t>
  </si>
  <si>
    <t>Put-call parity RHS</t>
  </si>
  <si>
    <t>Parity difference</t>
  </si>
  <si>
    <t>S0 e^(-qT) - K e^(-rT)</t>
  </si>
  <si>
    <t>N(d1): Cumulative standard normal probability up to d1, mainly used in the call formula and related to call Delta.</t>
  </si>
  <si>
    <t>N(d2): Cumulative standard normal probability up to d2, used in the call formula.</t>
  </si>
  <si>
    <t>N(-d1): Cumulative standard normal probability up to -d1, used in the put formula.</t>
  </si>
  <si>
    <t>N(-d2): Cumulative standard normal probability up to -d2, used in the put formula.</t>
  </si>
  <si>
    <t>Put-call parity LHS: Difference between the call price and the put price.</t>
  </si>
  <si>
    <t>Put-call parity RHS: Present value of the dividend-adjusted underlying minus the present value of the strike.</t>
  </si>
  <si>
    <t>Parity difference: Difference between both sides of put-call parity. It should be close to zero if the formulas are correct.</t>
  </si>
  <si>
    <t>Call: Expected discounted value of receiving the underlying minus the expected discounted cost of paying the strike.</t>
  </si>
  <si>
    <t>Put: Expected discounted value of receiving the strike minus the expected value of delivering the underlying.</t>
  </si>
  <si>
    <t xml:space="preserve">Theorical formula  </t>
  </si>
  <si>
    <t>phi(d1)</t>
  </si>
  <si>
    <t>Delta Call</t>
  </si>
  <si>
    <t>Delta Put</t>
  </si>
  <si>
    <t>Gamma</t>
  </si>
  <si>
    <t>Vega</t>
  </si>
  <si>
    <t>Theta Call</t>
  </si>
  <si>
    <t>Theta Put</t>
  </si>
  <si>
    <t>Rho Call</t>
  </si>
  <si>
    <t>Rho Put</t>
  </si>
  <si>
    <t>Greeks</t>
  </si>
  <si>
    <t>Delta call = e^(-qT) N(d1)</t>
  </si>
  <si>
    <t>If the underlying increases by 1, the call price increases by approximately 0,64.</t>
  </si>
  <si>
    <t>Delta put = e^(-qT) [N(d1) - 1]</t>
  </si>
  <si>
    <t>If the underlying increases by 1, the put price decreases by approximately 0,36.</t>
  </si>
  <si>
    <t>Gamma = e^(-qT) φ(d1) / [S0 σ √T]</t>
  </si>
  <si>
    <t>Gamma measures the curvature of the option price. It shows how quickly Delta changes when the underlying moves.</t>
  </si>
  <si>
    <t>Vega = S0 e^(-qT) φ(d1) √T / 100</t>
  </si>
  <si>
    <t>If volatility increases by 1 percentage point, the option price increases by approximately 0,38.</t>
  </si>
  <si>
    <t>Theta call = -[S0 e^(-qT) φ(d1) σ] / [2√T] - rK e^(-rT)N(d2) + qS0 e^(-qT)N(d1)</t>
  </si>
  <si>
    <t>The call loses approximately 0,018 per day due to time decay, all else equal.</t>
  </si>
  <si>
    <t>Theta put = -[S0 e^(-qT) φ(d1) σ] / [2√T] + rK e^(-rT)N(-d2) - qS0 e^(-qT)N(-d1)</t>
  </si>
  <si>
    <t>Rho call = K T e^(-rT) N(d2) / 100</t>
  </si>
  <si>
    <t>If interest rates increase by 1 percentage point, the call price increases by approximately 0,53.</t>
  </si>
  <si>
    <t>Rho put = -K T e^(-rT) N(-d2) / 100</t>
  </si>
  <si>
    <t>phi(d1): Standard normal density at d1, used to calculate Gamma, Vega and Theta.</t>
  </si>
  <si>
    <t>Rho Put: If interest rates increase by 1 percentage point, the put price decreases by approximately 0,42.</t>
  </si>
  <si>
    <t>Theta Put: The put loses approximately 0,005 per day due to time decay, all else equal.</t>
  </si>
  <si>
    <t>Black-Scholes Sensitivity Analysis</t>
  </si>
  <si>
    <t>Put Price</t>
  </si>
  <si>
    <t>Call Pirce</t>
  </si>
  <si>
    <t>Spot Price</t>
  </si>
  <si>
    <t>Volatility</t>
  </si>
  <si>
    <t>Call Price</t>
  </si>
  <si>
    <t>Black-Scholes Option Pricing Dashboard</t>
  </si>
  <si>
    <t>Model Inputs</t>
  </si>
  <si>
    <t>Strike Price</t>
  </si>
  <si>
    <t>Time to Maturity</t>
  </si>
  <si>
    <t>Risk-Free Rate</t>
  </si>
  <si>
    <t>Dividend Yield</t>
  </si>
  <si>
    <t>Option Prices</t>
  </si>
  <si>
    <t>Greeks Summary</t>
  </si>
  <si>
    <t>Key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</si>
</sst>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4" borderId="0" xfId="0" applyFill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Option Price vs Spot Price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3862134972200654"/>
          <c:y val="0.18194459606174343"/>
          <c:w val="0.83490969872867982"/>
          <c:h val="0.47423897488622085"/>
        </c:manualLayout>
      </c:layout>
      <c:lineChart>
        <c:grouping val="standard"/>
        <c:varyColors val="0"/>
        <c:ser>
          <c:idx val="0"/>
          <c:order val="0"/>
          <c:tx>
            <c:v>Call Price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Sens'!$C$8:$C$24</c:f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f>'SensitivityBlack-Scholes Sens'!$J$8:$J$24</c:f>
              <c:numCache>
                <c:formatCode>General</c:formatCode>
                <c:ptCount val="17"/>
                <c:pt idx="0">
                  <c:v>5.4436730070420158E-2</c:v>
                </c:pt>
                <c:pt idx="1">
                  <c:v>0.17141909778203601</c:v>
                </c:pt>
                <c:pt idx="2">
                  <c:v>0.44144821021536718</c:v>
                </c:pt>
                <c:pt idx="3">
                  <c:v>0.96722787351468931</c:v>
                </c:pt>
                <c:pt idx="4">
                  <c:v>1.8594195728121736</c:v>
                </c:pt>
                <c:pt idx="5">
                  <c:v>3.2135985531478788</c:v>
                </c:pt>
                <c:pt idx="6">
                  <c:v>5.0912220788175517</c:v>
                </c:pt>
                <c:pt idx="7">
                  <c:v>7.5108721783527059</c:v>
                </c:pt>
                <c:pt idx="8">
                  <c:v>10.450583572185565</c:v>
                </c:pt>
                <c:pt idx="9">
                  <c:v>13.857906267073119</c:v>
                </c:pt>
                <c:pt idx="10">
                  <c:v>17.662953740590439</c:v>
                </c:pt>
                <c:pt idx="11">
                  <c:v>21.790512528031144</c:v>
                </c:pt>
                <c:pt idx="12">
                  <c:v>26.169043946847296</c:v>
                </c:pt>
                <c:pt idx="13">
                  <c:v>30.736044304909683</c:v>
                </c:pt>
                <c:pt idx="14">
                  <c:v>35.440270667389996</c:v>
                </c:pt>
                <c:pt idx="15">
                  <c:v>40.241764825182273</c:v>
                </c:pt>
                <c:pt idx="16">
                  <c:v>45.110609790924826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40-4CAC-AB95-A5768EC14827}"/>
            </c:ext>
          </c:extLst>
        </c:ser>
        <c:ser>
          <c:idx val="1"/>
          <c:order val="1"/>
          <c:tx>
            <c:v>Put Price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Sens'!$C$8:$C$24</c:f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f>'SensitivityBlack-Scholes Sens'!$K$8:$K$24</c:f>
              <c:numCache>
                <c:formatCode>General</c:formatCode>
                <c:ptCount val="17"/>
                <c:pt idx="0">
                  <c:v>35.17737918014182</c:v>
                </c:pt>
                <c:pt idx="1">
                  <c:v>30.294361547853448</c:v>
                </c:pt>
                <c:pt idx="2">
                  <c:v>25.564390660286776</c:v>
                </c:pt>
                <c:pt idx="3">
                  <c:v>21.090170323586094</c:v>
                </c:pt>
                <c:pt idx="4">
                  <c:v>16.982362022883592</c:v>
                </c:pt>
                <c:pt idx="5">
                  <c:v>13.336541003219281</c:v>
                </c:pt>
                <c:pt idx="6">
                  <c:v>10.214164528888951</c:v>
                </c:pt>
                <c:pt idx="7">
                  <c:v>7.6338146284241049</c:v>
                </c:pt>
                <c:pt idx="8">
                  <c:v>5.5735260222569707</c:v>
                </c:pt>
                <c:pt idx="9">
                  <c:v>3.9808487171445144</c:v>
                </c:pt>
                <c:pt idx="10">
                  <c:v>2.7858961906618482</c:v>
                </c:pt>
                <c:pt idx="11">
                  <c:v>1.9134549781025392</c:v>
                </c:pt>
                <c:pt idx="12">
                  <c:v>1.2919863969187126</c:v>
                </c:pt>
                <c:pt idx="13">
                  <c:v>0.85898675498109078</c:v>
                </c:pt>
                <c:pt idx="14">
                  <c:v>0.56321311746140079</c:v>
                </c:pt>
                <c:pt idx="15">
                  <c:v>0.36470727525367685</c:v>
                </c:pt>
                <c:pt idx="16">
                  <c:v>0.23355224099623317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40-4CAC-AB95-A5768EC14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899728"/>
        <c:axId val="1249895888"/>
      </c:lineChart>
      <c:catAx>
        <c:axId val="1249899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Spot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895888"/>
        <c:crosses val="autoZero"/>
        <c:auto val="1"/>
        <c:lblAlgn val="ctr"/>
        <c:lblOffset val="100"/>
        <c:noMultiLvlLbl val="0"/>
      </c:catAx>
      <c:valAx>
        <c:axId val="124989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Option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89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Option Price vs Time to Maturity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'SensitivityBlack-Scholes Sens'!$AD$7</c:f>
              <c:strCache>
                <c:ptCount val="1"/>
                <c:pt idx="0">
                  <c:v>Call Price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'SensitivityBlack-Scholes Sens'!$W$8:$W$15</c15:sqref>
                  </c15:fullRef>
                </c:ext>
              </c:extLst>
              <c:f>'SensitivityBlack-Scholes Sens'!$W$9:$W$15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'SensitivityBlack-Scholes Sens'!$AD$8:$AD$15</c15:sqref>
                  </c15:fullRef>
                </c:ext>
              </c:extLst>
              <c:f>'SensitivityBlack-Scholes Sens'!$AD$9:$AD$15</c:f>
              <c:numCache>
                <c:formatCode>General</c:formatCode>
                <c:ptCount val="7"/>
                <c:pt idx="0">
                  <c:v>4.6149971296028696</c:v>
                </c:pt>
                <c:pt idx="1">
                  <c:v>6.8887285776806237</c:v>
                </c:pt>
                <c:pt idx="2">
                  <c:v>8.7722682597569346</c:v>
                </c:pt>
                <c:pt idx="3">
                  <c:v>10.450583572185565</c:v>
                </c:pt>
                <c:pt idx="4">
                  <c:v>13.442904812585333</c:v>
                </c:pt>
                <c:pt idx="5">
                  <c:v>16.126779724978633</c:v>
                </c:pt>
                <c:pt idx="6">
                  <c:v>20.924360952895213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E-4D7F-87C1-F3F32FD44942}"/>
            </c:ext>
          </c:extLst>
        </c:ser>
        <c:ser>
          <c:idx val="2"/>
          <c:order val="1"/>
          <c:tx>
            <c:strRef>
              <c:f>'SensitivityBlack-Scholes Sens'!$AE$7</c:f>
              <c:strCache>
                <c:ptCount val="1"/>
                <c:pt idx="0">
                  <c:v>Put Price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'SensitivityBlack-Scholes Sens'!$W$8:$W$15</c15:sqref>
                  </c15:fullRef>
                </c:ext>
              </c:extLst>
              <c:f>'SensitivityBlack-Scholes Sens'!$W$9:$W$15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'SensitivityBlack-Scholes Sens'!$AE$8:$AE$15</c15:sqref>
                  </c15:fullRef>
                </c:ext>
              </c:extLst>
              <c:f>'SensitivityBlack-Scholes Sens'!$AE$9:$AE$15</c:f>
              <c:numCache>
                <c:formatCode>General</c:formatCode>
                <c:ptCount val="7"/>
                <c:pt idx="0">
                  <c:v>3.372777178991015</c:v>
                </c:pt>
                <c:pt idx="1">
                  <c:v>4.419719780513887</c:v>
                </c:pt>
                <c:pt idx="2">
                  <c:v>5.0917100318391277</c:v>
                </c:pt>
                <c:pt idx="3">
                  <c:v>5.5735260222569707</c:v>
                </c:pt>
                <c:pt idx="4">
                  <c:v>6.2172534454406119</c:v>
                </c:pt>
                <c:pt idx="5">
                  <c:v>6.6105215285745729</c:v>
                </c:pt>
                <c:pt idx="6">
                  <c:v>6.9951585954009907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E-4D7F-87C1-F3F32FD44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881968"/>
        <c:axId val="1249890128"/>
      </c:lineChart>
      <c:catAx>
        <c:axId val="1249881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 to Maturity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890128"/>
        <c:crosses val="autoZero"/>
        <c:auto val="1"/>
        <c:lblAlgn val="ctr"/>
        <c:lblOffset val="100"/>
        <c:noMultiLvlLbl val="0"/>
      </c:catAx>
      <c:valAx>
        <c:axId val="124989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Theoretical Option Price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20154199475065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88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Gamma vs Spot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'SensitivityBlack-Scholes Sens'!$M$51</c:f>
              <c:strCache>
                <c:ptCount val="1"/>
                <c:pt idx="0">
                  <c:v>Gamma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Sens'!$E$52:$E$68</c:f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f>'SensitivityBlack-Scholes Sens'!$M$52:$M$68</c:f>
              <c:numCache>
                <c:formatCode>General</c:formatCode>
                <c:ptCount val="17"/>
                <c:pt idx="0">
                  <c:v>2.9294647110990973E-3</c:v>
                </c:pt>
                <c:pt idx="1">
                  <c:v>6.0304008320927905E-3</c:v>
                </c:pt>
                <c:pt idx="2">
                  <c:v>1.0200919595355304E-2</c:v>
                </c:pt>
                <c:pt idx="3">
                  <c:v>1.470882989142467E-2</c:v>
                </c:pt>
                <c:pt idx="4">
                  <c:v>1.8598225671687875E-2</c:v>
                </c:pt>
                <c:pt idx="5">
                  <c:v>2.1085940635061272E-2</c:v>
                </c:pt>
                <c:pt idx="6">
                  <c:v>2.1819747579660091E-2</c:v>
                </c:pt>
                <c:pt idx="7">
                  <c:v>2.0905316532665343E-2</c:v>
                </c:pt>
                <c:pt idx="8">
                  <c:v>1.8762017345846895E-2</c:v>
                </c:pt>
                <c:pt idx="9">
                  <c:v>1.5925243937885948E-2</c:v>
                </c:pt>
                <c:pt idx="10">
                  <c:v>1.2886510906085861E-2</c:v>
                </c:pt>
                <c:pt idx="11">
                  <c:v>1.000736802297332E-2</c:v>
                </c:pt>
                <c:pt idx="12">
                  <c:v>7.5002459635383151E-3</c:v>
                </c:pt>
                <c:pt idx="13">
                  <c:v>5.4508777455977439E-3</c:v>
                </c:pt>
                <c:pt idx="14">
                  <c:v>3.8570211165241228E-3</c:v>
                </c:pt>
                <c:pt idx="15">
                  <c:v>2.6664880322528344E-3</c:v>
                </c:pt>
                <c:pt idx="16">
                  <c:v>1.8064547923586217E-3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1E-4BFC-BA07-33095AADB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554496"/>
        <c:axId val="1549549696"/>
      </c:lineChart>
      <c:catAx>
        <c:axId val="154955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Underlying Spot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49549696"/>
        <c:crosses val="autoZero"/>
        <c:auto val="1"/>
        <c:lblAlgn val="ctr"/>
        <c:lblOffset val="100"/>
        <c:noMultiLvlLbl val="0"/>
      </c:catAx>
      <c:valAx>
        <c:axId val="15495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4955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Option Price vs Volatility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'SensitivityBlack-Scholes Sens'!$T$7</c:f>
              <c:strCache>
                <c:ptCount val="1"/>
                <c:pt idx="0">
                  <c:v>Call 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Sens'!$M$8:$M$17</c:f>
              <c:numCache>
                <c:formatCode>0%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cat>
          <c:val>
            <c:numRef>
              <c:f>'SensitivityBlack-Scholes Sens'!$T$8:$T$17</c:f>
              <c:numCache>
                <c:formatCode>General</c:formatCode>
                <c:ptCount val="10"/>
                <c:pt idx="0">
                  <c:v>5.2832689876499188</c:v>
                </c:pt>
                <c:pt idx="1">
                  <c:v>6.804957708822144</c:v>
                </c:pt>
                <c:pt idx="2">
                  <c:v>8.5916583120891445</c:v>
                </c:pt>
                <c:pt idx="3">
                  <c:v>10.450583572185565</c:v>
                </c:pt>
                <c:pt idx="4">
                  <c:v>12.335998930368717</c:v>
                </c:pt>
                <c:pt idx="5">
                  <c:v>14.231254785985819</c:v>
                </c:pt>
                <c:pt idx="6">
                  <c:v>16.128428881575893</c:v>
                </c:pt>
                <c:pt idx="7">
                  <c:v>18.022951450216681</c:v>
                </c:pt>
                <c:pt idx="8">
                  <c:v>19.911769631467692</c:v>
                </c:pt>
                <c:pt idx="9">
                  <c:v>21.792604212866848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08-48C4-9D44-D306C46006A9}"/>
            </c:ext>
          </c:extLst>
        </c:ser>
        <c:ser>
          <c:idx val="1"/>
          <c:order val="1"/>
          <c:tx>
            <c:strRef>
              <c:f>'SensitivityBlack-Scholes Sens'!$U$7</c:f>
              <c:strCache>
                <c:ptCount val="1"/>
                <c:pt idx="0">
                  <c:v>Put Price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Sens'!$M$8:$M$17</c:f>
              <c:numCache>
                <c:formatCode>0%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cat>
          <c:val>
            <c:numRef>
              <c:f>'SensitivityBlack-Scholes Sens'!$U$8:$U$17</c:f>
              <c:numCache>
                <c:formatCode>General</c:formatCode>
                <c:ptCount val="10"/>
                <c:pt idx="0">
                  <c:v>0.40621143772131596</c:v>
                </c:pt>
                <c:pt idx="1">
                  <c:v>1.92790015889355</c:v>
                </c:pt>
                <c:pt idx="2">
                  <c:v>3.7146007621605648</c:v>
                </c:pt>
                <c:pt idx="3">
                  <c:v>5.5735260222569707</c:v>
                </c:pt>
                <c:pt idx="4">
                  <c:v>7.4589413804401232</c:v>
                </c:pt>
                <c:pt idx="5">
                  <c:v>9.3541972360572387</c:v>
                </c:pt>
                <c:pt idx="6">
                  <c:v>11.251371331647292</c:v>
                </c:pt>
                <c:pt idx="7">
                  <c:v>13.145893900288087</c:v>
                </c:pt>
                <c:pt idx="8">
                  <c:v>15.034712081539105</c:v>
                </c:pt>
                <c:pt idx="9">
                  <c:v>16.915546662938254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08-48C4-9D44-D306C4600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625696"/>
        <c:axId val="1308627136"/>
      </c:lineChart>
      <c:catAx>
        <c:axId val="130862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8627136"/>
        <c:crosses val="autoZero"/>
        <c:auto val="1"/>
        <c:lblAlgn val="ctr"/>
        <c:lblOffset val="100"/>
        <c:noMultiLvlLbl val="0"/>
      </c:catAx>
      <c:valAx>
        <c:axId val="130862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Theoretical Option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862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Delta vs Underlying Spot Price</a:t>
            </a:r>
            <a:endParaRPr lang="es-ES"/>
          </a:p>
        </c:rich>
      </c:tx>
      <c:layout>
        <c:manualLayout>
          <c:xMode val="edge"/>
          <c:yMode val="edge"/>
          <c:x val="0.178670709156447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'SensitivityBlack-Scholes Sens'!$K$51</c:f>
              <c:strCache>
                <c:ptCount val="1"/>
                <c:pt idx="0">
                  <c:v>Delta Call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Sens'!$E$52:$E$68</c:f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f>'SensitivityBlack-Scholes Sens'!$K$52:$K$68</c:f>
              <c:numCache>
                <c:formatCode>General</c:formatCode>
                <c:ptCount val="17"/>
                <c:pt idx="0">
                  <c:v>1.3757667572379631E-2</c:v>
                </c:pt>
                <c:pt idx="1">
                  <c:v>3.5622349442744658E-2</c:v>
                </c:pt>
                <c:pt idx="2">
                  <c:v>7.5875389491867534E-2</c:v>
                </c:pt>
                <c:pt idx="3">
                  <c:v>0.13820699431731612</c:v>
                </c:pt>
                <c:pt idx="4">
                  <c:v>0.22192212964817964</c:v>
                </c:pt>
                <c:pt idx="5">
                  <c:v>0.32182747298832592</c:v>
                </c:pt>
                <c:pt idx="6">
                  <c:v>0.4298317318895431</c:v>
                </c:pt>
                <c:pt idx="7">
                  <c:v>0.53726014255325238</c:v>
                </c:pt>
                <c:pt idx="8">
                  <c:v>0.6368306511756191</c:v>
                </c:pt>
                <c:pt idx="9">
                  <c:v>0.72372749676293524</c:v>
                </c:pt>
                <c:pt idx="10">
                  <c:v>0.79575417130958659</c:v>
                </c:pt>
                <c:pt idx="11">
                  <c:v>0.85286714664627372</c:v>
                </c:pt>
                <c:pt idx="12">
                  <c:v>0.89645502307708047</c:v>
                </c:pt>
                <c:pt idx="13">
                  <c:v>0.92863740266492811</c:v>
                </c:pt>
                <c:pt idx="14">
                  <c:v>0.95172569716748268</c:v>
                </c:pt>
                <c:pt idx="15">
                  <c:v>0.96788089418668477</c:v>
                </c:pt>
                <c:pt idx="16">
                  <c:v>0.97894144763979696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8B-4EAB-B1BD-12A5487A845C}"/>
            </c:ext>
          </c:extLst>
        </c:ser>
        <c:ser>
          <c:idx val="1"/>
          <c:order val="1"/>
          <c:tx>
            <c:strRef>
              <c:f>'SensitivityBlack-Scholes Sens'!$L$51</c:f>
              <c:strCache>
                <c:ptCount val="1"/>
                <c:pt idx="0">
                  <c:v>Delta 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Sens'!$E$52:$E$68</c:f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f>'SensitivityBlack-Scholes Sens'!$L$52:$L$68</c:f>
              <c:numCache>
                <c:formatCode>General</c:formatCode>
                <c:ptCount val="17"/>
                <c:pt idx="0">
                  <c:v>-0.98624233242762038</c:v>
                </c:pt>
                <c:pt idx="1">
                  <c:v>-0.96437765055725533</c:v>
                </c:pt>
                <c:pt idx="2">
                  <c:v>-0.92412461050813244</c:v>
                </c:pt>
                <c:pt idx="3">
                  <c:v>-0.86179300568268391</c:v>
                </c:pt>
                <c:pt idx="4">
                  <c:v>-0.7780778703518203</c:v>
                </c:pt>
                <c:pt idx="5">
                  <c:v>-0.67817252701167408</c:v>
                </c:pt>
                <c:pt idx="6">
                  <c:v>-0.57016826811045696</c:v>
                </c:pt>
                <c:pt idx="7">
                  <c:v>-0.46273985744674762</c:v>
                </c:pt>
                <c:pt idx="8">
                  <c:v>-0.3631693488243809</c:v>
                </c:pt>
                <c:pt idx="9">
                  <c:v>-0.27627250323706476</c:v>
                </c:pt>
                <c:pt idx="10">
                  <c:v>-0.20424582869041341</c:v>
                </c:pt>
                <c:pt idx="11">
                  <c:v>-0.14713285335372628</c:v>
                </c:pt>
                <c:pt idx="12">
                  <c:v>-0.10354497692291953</c:v>
                </c:pt>
                <c:pt idx="13">
                  <c:v>-7.1362597335071887E-2</c:v>
                </c:pt>
                <c:pt idx="14">
                  <c:v>-4.8274302832517324E-2</c:v>
                </c:pt>
                <c:pt idx="15">
                  <c:v>-3.211910581331523E-2</c:v>
                </c:pt>
                <c:pt idx="16">
                  <c:v>-2.1058552360203042E-2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8B-4EAB-B1BD-12A5487A8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662656"/>
        <c:axId val="1308660256"/>
      </c:lineChart>
      <c:catAx>
        <c:axId val="130866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Underlying Spot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8660256"/>
        <c:crosses val="autoZero"/>
        <c:auto val="1"/>
        <c:lblAlgn val="ctr"/>
        <c:lblOffset val="100"/>
        <c:noMultiLvlLbl val="0"/>
      </c:catAx>
      <c:valAx>
        <c:axId val="13086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Delta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866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Vega vs Spot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'SensitivityBlack-Scholes Sens'!$N$51</c:f>
              <c:strCache>
                <c:ptCount val="1"/>
                <c:pt idx="0">
                  <c:v>Vega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Sens'!$E$52:$E$68</c:f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f>'SensitivityBlack-Scholes Sens'!$N$52:$N$68</c:f>
              <c:numCache>
                <c:formatCode>General</c:formatCode>
                <c:ptCount val="17"/>
                <c:pt idx="0">
                  <c:v>2.1092145919913499E-2</c:v>
                </c:pt>
                <c:pt idx="1">
                  <c:v>5.0956887031184082E-2</c:v>
                </c:pt>
                <c:pt idx="2">
                  <c:v>9.9969012034481983E-2</c:v>
                </c:pt>
                <c:pt idx="3">
                  <c:v>0.16547433627852753</c:v>
                </c:pt>
                <c:pt idx="4">
                  <c:v>0.23805728859760478</c:v>
                </c:pt>
                <c:pt idx="5">
                  <c:v>0.30469184217663536</c:v>
                </c:pt>
                <c:pt idx="6">
                  <c:v>0.35347991079049351</c:v>
                </c:pt>
                <c:pt idx="7">
                  <c:v>0.37734096341460943</c:v>
                </c:pt>
                <c:pt idx="8">
                  <c:v>0.37524034691693792</c:v>
                </c:pt>
                <c:pt idx="9">
                  <c:v>0.35115162883038514</c:v>
                </c:pt>
                <c:pt idx="10">
                  <c:v>0.31185356392727781</c:v>
                </c:pt>
                <c:pt idx="11">
                  <c:v>0.26469488420764437</c:v>
                </c:pt>
                <c:pt idx="12">
                  <c:v>0.21600708374990346</c:v>
                </c:pt>
                <c:pt idx="13">
                  <c:v>0.17033992954992949</c:v>
                </c:pt>
                <c:pt idx="14">
                  <c:v>0.13036731373851534</c:v>
                </c:pt>
                <c:pt idx="15">
                  <c:v>9.7193488775615802E-2</c:v>
                </c:pt>
                <c:pt idx="16">
                  <c:v>7.0813027860457969E-2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C-4A74-9FC8-76E2A9137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890608"/>
        <c:axId val="1249893968"/>
      </c:lineChart>
      <c:catAx>
        <c:axId val="124989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Underlying Spot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893968"/>
        <c:crosses val="autoZero"/>
        <c:auto val="1"/>
        <c:lblAlgn val="ctr"/>
        <c:lblOffset val="100"/>
        <c:noMultiLvlLbl val="0"/>
      </c:catAx>
      <c:valAx>
        <c:axId val="124989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Vega per 1% Volatility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89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Option Price vs Spot Price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Call Price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Sens'!$C$8:$C$24</c:f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f>'SensitivityBlack-Scholes Sens'!$J$8:$J$24</c:f>
              <c:numCache>
                <c:formatCode>General</c:formatCode>
                <c:ptCount val="17"/>
                <c:pt idx="0">
                  <c:v>5.4436730070420158E-2</c:v>
                </c:pt>
                <c:pt idx="1">
                  <c:v>0.17141909778203601</c:v>
                </c:pt>
                <c:pt idx="2">
                  <c:v>0.44144821021536718</c:v>
                </c:pt>
                <c:pt idx="3">
                  <c:v>0.96722787351468931</c:v>
                </c:pt>
                <c:pt idx="4">
                  <c:v>1.8594195728121736</c:v>
                </c:pt>
                <c:pt idx="5">
                  <c:v>3.2135985531478788</c:v>
                </c:pt>
                <c:pt idx="6">
                  <c:v>5.0912220788175517</c:v>
                </c:pt>
                <c:pt idx="7">
                  <c:v>7.5108721783527059</c:v>
                </c:pt>
                <c:pt idx="8">
                  <c:v>10.450583572185565</c:v>
                </c:pt>
                <c:pt idx="9">
                  <c:v>13.857906267073119</c:v>
                </c:pt>
                <c:pt idx="10">
                  <c:v>17.662953740590439</c:v>
                </c:pt>
                <c:pt idx="11">
                  <c:v>21.790512528031144</c:v>
                </c:pt>
                <c:pt idx="12">
                  <c:v>26.169043946847296</c:v>
                </c:pt>
                <c:pt idx="13">
                  <c:v>30.736044304909683</c:v>
                </c:pt>
                <c:pt idx="14">
                  <c:v>35.440270667389996</c:v>
                </c:pt>
                <c:pt idx="15">
                  <c:v>40.241764825182273</c:v>
                </c:pt>
                <c:pt idx="16">
                  <c:v>45.110609790924826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6-4CA1-8ECC-4C3D3FC7B0A4}"/>
            </c:ext>
          </c:extLst>
        </c:ser>
        <c:ser>
          <c:idx val="1"/>
          <c:order val="1"/>
          <c:tx>
            <c:v>Put Price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Sens'!$C$8:$C$24</c:f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f>'SensitivityBlack-Scholes Sens'!$K$8:$K$24</c:f>
              <c:numCache>
                <c:formatCode>General</c:formatCode>
                <c:ptCount val="17"/>
                <c:pt idx="0">
                  <c:v>35.17737918014182</c:v>
                </c:pt>
                <c:pt idx="1">
                  <c:v>30.294361547853448</c:v>
                </c:pt>
                <c:pt idx="2">
                  <c:v>25.564390660286776</c:v>
                </c:pt>
                <c:pt idx="3">
                  <c:v>21.090170323586094</c:v>
                </c:pt>
                <c:pt idx="4">
                  <c:v>16.982362022883592</c:v>
                </c:pt>
                <c:pt idx="5">
                  <c:v>13.336541003219281</c:v>
                </c:pt>
                <c:pt idx="6">
                  <c:v>10.214164528888951</c:v>
                </c:pt>
                <c:pt idx="7">
                  <c:v>7.6338146284241049</c:v>
                </c:pt>
                <c:pt idx="8">
                  <c:v>5.5735260222569707</c:v>
                </c:pt>
                <c:pt idx="9">
                  <c:v>3.9808487171445144</c:v>
                </c:pt>
                <c:pt idx="10">
                  <c:v>2.7858961906618482</c:v>
                </c:pt>
                <c:pt idx="11">
                  <c:v>1.9134549781025392</c:v>
                </c:pt>
                <c:pt idx="12">
                  <c:v>1.2919863969187126</c:v>
                </c:pt>
                <c:pt idx="13">
                  <c:v>0.85898675498109078</c:v>
                </c:pt>
                <c:pt idx="14">
                  <c:v>0.56321311746140079</c:v>
                </c:pt>
                <c:pt idx="15">
                  <c:v>0.36470727525367685</c:v>
                </c:pt>
                <c:pt idx="16">
                  <c:v>0.23355224099623317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06-4CA1-8ECC-4C3D3FC7B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899728"/>
        <c:axId val="1249895888"/>
      </c:lineChart>
      <c:catAx>
        <c:axId val="1249899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Spot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895888"/>
        <c:crosses val="autoZero"/>
        <c:auto val="1"/>
        <c:lblAlgn val="ctr"/>
        <c:lblOffset val="100"/>
        <c:noMultiLvlLbl val="0"/>
      </c:catAx>
      <c:valAx>
        <c:axId val="124989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Option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89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Option Price vs Volatility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'SensitivityBlack-Scholes Sens'!$T$7</c:f>
              <c:strCache>
                <c:ptCount val="1"/>
                <c:pt idx="0">
                  <c:v>Call Price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Sens'!$M$8:$M$17</c:f>
              <c:numCache>
                <c:formatCode>0%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cat>
          <c:val>
            <c:numRef>
              <c:f>'SensitivityBlack-Scholes Sens'!$T$8:$T$17</c:f>
              <c:numCache>
                <c:formatCode>General</c:formatCode>
                <c:ptCount val="10"/>
                <c:pt idx="0">
                  <c:v>5.2832689876499188</c:v>
                </c:pt>
                <c:pt idx="1">
                  <c:v>6.804957708822144</c:v>
                </c:pt>
                <c:pt idx="2">
                  <c:v>8.5916583120891445</c:v>
                </c:pt>
                <c:pt idx="3">
                  <c:v>10.450583572185565</c:v>
                </c:pt>
                <c:pt idx="4">
                  <c:v>12.335998930368717</c:v>
                </c:pt>
                <c:pt idx="5">
                  <c:v>14.231254785985819</c:v>
                </c:pt>
                <c:pt idx="6">
                  <c:v>16.128428881575893</c:v>
                </c:pt>
                <c:pt idx="7">
                  <c:v>18.022951450216681</c:v>
                </c:pt>
                <c:pt idx="8">
                  <c:v>19.911769631467692</c:v>
                </c:pt>
                <c:pt idx="9">
                  <c:v>21.792604212866848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2-4FC6-913F-E6CF7C9AD3D5}"/>
            </c:ext>
          </c:extLst>
        </c:ser>
        <c:ser>
          <c:idx val="1"/>
          <c:order val="1"/>
          <c:tx>
            <c:strRef>
              <c:f>'SensitivityBlack-Scholes Sens'!$U$7</c:f>
              <c:strCache>
                <c:ptCount val="1"/>
                <c:pt idx="0">
                  <c:v>Put Price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Sens'!$M$8:$M$17</c:f>
              <c:numCache>
                <c:formatCode>0%</c:formatCode>
                <c:ptCount val="1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</c:numCache>
            </c:numRef>
          </c:cat>
          <c:val>
            <c:numRef>
              <c:f>'SensitivityBlack-Scholes Sens'!$U$8:$U$17</c:f>
              <c:numCache>
                <c:formatCode>General</c:formatCode>
                <c:ptCount val="10"/>
                <c:pt idx="0">
                  <c:v>0.40621143772131596</c:v>
                </c:pt>
                <c:pt idx="1">
                  <c:v>1.92790015889355</c:v>
                </c:pt>
                <c:pt idx="2">
                  <c:v>3.7146007621605648</c:v>
                </c:pt>
                <c:pt idx="3">
                  <c:v>5.5735260222569707</c:v>
                </c:pt>
                <c:pt idx="4">
                  <c:v>7.4589413804401232</c:v>
                </c:pt>
                <c:pt idx="5">
                  <c:v>9.3541972360572387</c:v>
                </c:pt>
                <c:pt idx="6">
                  <c:v>11.251371331647292</c:v>
                </c:pt>
                <c:pt idx="7">
                  <c:v>13.145893900288087</c:v>
                </c:pt>
                <c:pt idx="8">
                  <c:v>15.034712081539105</c:v>
                </c:pt>
                <c:pt idx="9">
                  <c:v>16.915546662938254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C2-4FC6-913F-E6CF7C9AD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625696"/>
        <c:axId val="1308627136"/>
      </c:lineChart>
      <c:catAx>
        <c:axId val="130862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8627136"/>
        <c:crosses val="autoZero"/>
        <c:auto val="1"/>
        <c:lblAlgn val="ctr"/>
        <c:lblOffset val="100"/>
        <c:noMultiLvlLbl val="0"/>
      </c:catAx>
      <c:valAx>
        <c:axId val="130862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Theoretical Option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862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Option Price vs Time to Maturity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'SensitivityBlack-Scholes Sens'!$AD$7</c:f>
              <c:strCache>
                <c:ptCount val="1"/>
                <c:pt idx="0">
                  <c:v>Call Price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'SensitivityBlack-Scholes Sens'!$W$8:$W$15</c15:sqref>
                  </c15:fullRef>
                </c:ext>
              </c:extLst>
              <c:f>'SensitivityBlack-Scholes Sens'!$W$9:$W$15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'SensitivityBlack-Scholes Sens'!$AD$8:$AD$15</c15:sqref>
                  </c15:fullRef>
                </c:ext>
              </c:extLst>
              <c:f>'SensitivityBlack-Scholes Sens'!$AD$9:$AD$15</c:f>
              <c:numCache>
                <c:formatCode>General</c:formatCode>
                <c:ptCount val="7"/>
                <c:pt idx="0">
                  <c:v>4.6149971296028696</c:v>
                </c:pt>
                <c:pt idx="1">
                  <c:v>6.8887285776806237</c:v>
                </c:pt>
                <c:pt idx="2">
                  <c:v>8.7722682597569346</c:v>
                </c:pt>
                <c:pt idx="3">
                  <c:v>10.450583572185565</c:v>
                </c:pt>
                <c:pt idx="4">
                  <c:v>13.442904812585333</c:v>
                </c:pt>
                <c:pt idx="5">
                  <c:v>16.126779724978633</c:v>
                </c:pt>
                <c:pt idx="6">
                  <c:v>20.924360952895213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9E-46B4-B47C-8AD33809DD3F}"/>
            </c:ext>
          </c:extLst>
        </c:ser>
        <c:ser>
          <c:idx val="2"/>
          <c:order val="1"/>
          <c:tx>
            <c:strRef>
              <c:f>'SensitivityBlack-Scholes Sens'!$AE$7</c:f>
              <c:strCache>
                <c:ptCount val="1"/>
                <c:pt idx="0">
                  <c:v>Put Price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'SensitivityBlack-Scholes Sens'!$W$8:$W$15</c15:sqref>
                  </c15:fullRef>
                </c:ext>
              </c:extLst>
              <c:f>'SensitivityBlack-Scholes Sens'!$W$9:$W$15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'SensitivityBlack-Scholes Sens'!$AE$8:$AE$15</c15:sqref>
                  </c15:fullRef>
                </c:ext>
              </c:extLst>
              <c:f>'SensitivityBlack-Scholes Sens'!$AE$9:$AE$15</c:f>
              <c:numCache>
                <c:formatCode>General</c:formatCode>
                <c:ptCount val="7"/>
                <c:pt idx="0">
                  <c:v>3.372777178991015</c:v>
                </c:pt>
                <c:pt idx="1">
                  <c:v>4.419719780513887</c:v>
                </c:pt>
                <c:pt idx="2">
                  <c:v>5.0917100318391277</c:v>
                </c:pt>
                <c:pt idx="3">
                  <c:v>5.5735260222569707</c:v>
                </c:pt>
                <c:pt idx="4">
                  <c:v>6.2172534454406119</c:v>
                </c:pt>
                <c:pt idx="5">
                  <c:v>6.6105215285745729</c:v>
                </c:pt>
                <c:pt idx="6">
                  <c:v>6.9951585954009907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9E-46B4-B47C-8AD33809D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881968"/>
        <c:axId val="1249890128"/>
      </c:lineChart>
      <c:catAx>
        <c:axId val="1249881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Time to Maturity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890128"/>
        <c:crosses val="autoZero"/>
        <c:auto val="1"/>
        <c:lblAlgn val="ctr"/>
        <c:lblOffset val="100"/>
        <c:noMultiLvlLbl val="0"/>
      </c:catAx>
      <c:valAx>
        <c:axId val="124989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Theoretical Option Price</a:t>
                </a:r>
              </a:p>
            </c:rich>
          </c:tx>
          <c:layout>
            <c:manualLayout>
              <c:xMode val="edge"/>
              <c:yMode val="edge"/>
              <c:x val="1.2335264394728459E-2"/>
              <c:y val="0.22015416876603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88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Delta vs Underlying Spot Price</a:t>
            </a:r>
            <a:endParaRPr lang="es-ES"/>
          </a:p>
        </c:rich>
      </c:tx>
      <c:layout>
        <c:manualLayout>
          <c:xMode val="edge"/>
          <c:yMode val="edge"/>
          <c:x val="0.178670709156447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'SensitivityBlack-Scholes Sens'!$K$51</c:f>
              <c:strCache>
                <c:ptCount val="1"/>
                <c:pt idx="0">
                  <c:v>Delta Call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Sens'!$E$52:$E$68</c:f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f>'SensitivityBlack-Scholes Sens'!$K$52:$K$68</c:f>
              <c:numCache>
                <c:formatCode>General</c:formatCode>
                <c:ptCount val="17"/>
                <c:pt idx="0">
                  <c:v>1.3757667572379631E-2</c:v>
                </c:pt>
                <c:pt idx="1">
                  <c:v>3.5622349442744658E-2</c:v>
                </c:pt>
                <c:pt idx="2">
                  <c:v>7.5875389491867534E-2</c:v>
                </c:pt>
                <c:pt idx="3">
                  <c:v>0.13820699431731612</c:v>
                </c:pt>
                <c:pt idx="4">
                  <c:v>0.22192212964817964</c:v>
                </c:pt>
                <c:pt idx="5">
                  <c:v>0.32182747298832592</c:v>
                </c:pt>
                <c:pt idx="6">
                  <c:v>0.4298317318895431</c:v>
                </c:pt>
                <c:pt idx="7">
                  <c:v>0.53726014255325238</c:v>
                </c:pt>
                <c:pt idx="8">
                  <c:v>0.6368306511756191</c:v>
                </c:pt>
                <c:pt idx="9">
                  <c:v>0.72372749676293524</c:v>
                </c:pt>
                <c:pt idx="10">
                  <c:v>0.79575417130958659</c:v>
                </c:pt>
                <c:pt idx="11">
                  <c:v>0.85286714664627372</c:v>
                </c:pt>
                <c:pt idx="12">
                  <c:v>0.89645502307708047</c:v>
                </c:pt>
                <c:pt idx="13">
                  <c:v>0.92863740266492811</c:v>
                </c:pt>
                <c:pt idx="14">
                  <c:v>0.95172569716748268</c:v>
                </c:pt>
                <c:pt idx="15">
                  <c:v>0.96788089418668477</c:v>
                </c:pt>
                <c:pt idx="16">
                  <c:v>0.97894144763979696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0B-445A-8830-E6EBAFE65C7A}"/>
            </c:ext>
          </c:extLst>
        </c:ser>
        <c:ser>
          <c:idx val="1"/>
          <c:order val="1"/>
          <c:tx>
            <c:strRef>
              <c:f>'SensitivityBlack-Scholes Sens'!$L$51</c:f>
              <c:strCache>
                <c:ptCount val="1"/>
                <c:pt idx="0">
                  <c:v>Delta Put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Sens'!$E$52:$E$68</c:f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f>'SensitivityBlack-Scholes Sens'!$L$52:$L$68</c:f>
              <c:numCache>
                <c:formatCode>General</c:formatCode>
                <c:ptCount val="17"/>
                <c:pt idx="0">
                  <c:v>-0.98624233242762038</c:v>
                </c:pt>
                <c:pt idx="1">
                  <c:v>-0.96437765055725533</c:v>
                </c:pt>
                <c:pt idx="2">
                  <c:v>-0.92412461050813244</c:v>
                </c:pt>
                <c:pt idx="3">
                  <c:v>-0.86179300568268391</c:v>
                </c:pt>
                <c:pt idx="4">
                  <c:v>-0.7780778703518203</c:v>
                </c:pt>
                <c:pt idx="5">
                  <c:v>-0.67817252701167408</c:v>
                </c:pt>
                <c:pt idx="6">
                  <c:v>-0.57016826811045696</c:v>
                </c:pt>
                <c:pt idx="7">
                  <c:v>-0.46273985744674762</c:v>
                </c:pt>
                <c:pt idx="8">
                  <c:v>-0.3631693488243809</c:v>
                </c:pt>
                <c:pt idx="9">
                  <c:v>-0.27627250323706476</c:v>
                </c:pt>
                <c:pt idx="10">
                  <c:v>-0.20424582869041341</c:v>
                </c:pt>
                <c:pt idx="11">
                  <c:v>-0.14713285335372628</c:v>
                </c:pt>
                <c:pt idx="12">
                  <c:v>-0.10354497692291953</c:v>
                </c:pt>
                <c:pt idx="13">
                  <c:v>-7.1362597335071887E-2</c:v>
                </c:pt>
                <c:pt idx="14">
                  <c:v>-4.8274302832517324E-2</c:v>
                </c:pt>
                <c:pt idx="15">
                  <c:v>-3.211910581331523E-2</c:v>
                </c:pt>
                <c:pt idx="16">
                  <c:v>-2.1058552360203042E-2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0B-445A-8830-E6EBAFE65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662656"/>
        <c:axId val="1308660256"/>
      </c:lineChart>
      <c:catAx>
        <c:axId val="130866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Underlying Spot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8660256"/>
        <c:crosses val="autoZero"/>
        <c:auto val="1"/>
        <c:lblAlgn val="ctr"/>
        <c:lblOffset val="100"/>
        <c:noMultiLvlLbl val="0"/>
      </c:catAx>
      <c:valAx>
        <c:axId val="13086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Delta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866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Gamma vs Spot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'SensitivityBlack-Scholes Sens'!$M$51</c:f>
              <c:strCache>
                <c:ptCount val="1"/>
                <c:pt idx="0">
                  <c:v>Gamma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Sens'!$E$52:$E$68</c:f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f>'SensitivityBlack-Scholes Sens'!$M$52:$M$68</c:f>
              <c:numCache>
                <c:formatCode>General</c:formatCode>
                <c:ptCount val="17"/>
                <c:pt idx="0">
                  <c:v>2.9294647110990973E-3</c:v>
                </c:pt>
                <c:pt idx="1">
                  <c:v>6.0304008320927905E-3</c:v>
                </c:pt>
                <c:pt idx="2">
                  <c:v>1.0200919595355304E-2</c:v>
                </c:pt>
                <c:pt idx="3">
                  <c:v>1.470882989142467E-2</c:v>
                </c:pt>
                <c:pt idx="4">
                  <c:v>1.8598225671687875E-2</c:v>
                </c:pt>
                <c:pt idx="5">
                  <c:v>2.1085940635061272E-2</c:v>
                </c:pt>
                <c:pt idx="6">
                  <c:v>2.1819747579660091E-2</c:v>
                </c:pt>
                <c:pt idx="7">
                  <c:v>2.0905316532665343E-2</c:v>
                </c:pt>
                <c:pt idx="8">
                  <c:v>1.8762017345846895E-2</c:v>
                </c:pt>
                <c:pt idx="9">
                  <c:v>1.5925243937885948E-2</c:v>
                </c:pt>
                <c:pt idx="10">
                  <c:v>1.2886510906085861E-2</c:v>
                </c:pt>
                <c:pt idx="11">
                  <c:v>1.000736802297332E-2</c:v>
                </c:pt>
                <c:pt idx="12">
                  <c:v>7.5002459635383151E-3</c:v>
                </c:pt>
                <c:pt idx="13">
                  <c:v>5.4508777455977439E-3</c:v>
                </c:pt>
                <c:pt idx="14">
                  <c:v>3.8570211165241228E-3</c:v>
                </c:pt>
                <c:pt idx="15">
                  <c:v>2.6664880322528344E-3</c:v>
                </c:pt>
                <c:pt idx="16">
                  <c:v>1.8064547923586217E-3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A-4DAF-B0ED-3156CC5E1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554496"/>
        <c:axId val="1549549696"/>
      </c:lineChart>
      <c:catAx>
        <c:axId val="154955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Underlying Spot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49549696"/>
        <c:crosses val="autoZero"/>
        <c:auto val="1"/>
        <c:lblAlgn val="ctr"/>
        <c:lblOffset val="100"/>
        <c:noMultiLvlLbl val="0"/>
      </c:catAx>
      <c:valAx>
        <c:axId val="15495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4955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Vega vs Spot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'SensitivityBlack-Scholes Sens'!$N$51</c:f>
              <c:strCache>
                <c:ptCount val="1"/>
                <c:pt idx="0">
                  <c:v>Vega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'SensitivityBlack-Scholes Sens'!$E$52:$E$68</c:f>
              <c:numCache>
                <c:formatCode>General</c:formatCode>
                <c:ptCount val="17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90</c:v>
                </c:pt>
                <c:pt idx="7">
                  <c:v>95</c:v>
                </c:pt>
                <c:pt idx="8">
                  <c:v>100</c:v>
                </c:pt>
                <c:pt idx="9">
                  <c:v>105</c:v>
                </c:pt>
                <c:pt idx="10">
                  <c:v>110</c:v>
                </c:pt>
                <c:pt idx="11">
                  <c:v>115</c:v>
                </c:pt>
                <c:pt idx="12">
                  <c:v>120</c:v>
                </c:pt>
                <c:pt idx="13">
                  <c:v>125</c:v>
                </c:pt>
                <c:pt idx="14">
                  <c:v>130</c:v>
                </c:pt>
                <c:pt idx="15">
                  <c:v>135</c:v>
                </c:pt>
                <c:pt idx="16">
                  <c:v>140</c:v>
                </c:pt>
              </c:numCache>
            </c:numRef>
          </c:cat>
          <c:val>
            <c:numRef>
              <c:f>'SensitivityBlack-Scholes Sens'!$N$52:$N$68</c:f>
              <c:numCache>
                <c:formatCode>General</c:formatCode>
                <c:ptCount val="17"/>
                <c:pt idx="0">
                  <c:v>2.1092145919913499E-2</c:v>
                </c:pt>
                <c:pt idx="1">
                  <c:v>5.0956887031184082E-2</c:v>
                </c:pt>
                <c:pt idx="2">
                  <c:v>9.9969012034481983E-2</c:v>
                </c:pt>
                <c:pt idx="3">
                  <c:v>0.16547433627852753</c:v>
                </c:pt>
                <c:pt idx="4">
                  <c:v>0.23805728859760478</c:v>
                </c:pt>
                <c:pt idx="5">
                  <c:v>0.30469184217663536</c:v>
                </c:pt>
                <c:pt idx="6">
                  <c:v>0.35347991079049351</c:v>
                </c:pt>
                <c:pt idx="7">
                  <c:v>0.37734096341460943</c:v>
                </c:pt>
                <c:pt idx="8">
                  <c:v>0.37524034691693792</c:v>
                </c:pt>
                <c:pt idx="9">
                  <c:v>0.35115162883038514</c:v>
                </c:pt>
                <c:pt idx="10">
                  <c:v>0.31185356392727781</c:v>
                </c:pt>
                <c:pt idx="11">
                  <c:v>0.26469488420764437</c:v>
                </c:pt>
                <c:pt idx="12">
                  <c:v>0.21600708374990346</c:v>
                </c:pt>
                <c:pt idx="13">
                  <c:v>0.17033992954992949</c:v>
                </c:pt>
                <c:pt idx="14">
                  <c:v>0.13036731373851534</c:v>
                </c:pt>
                <c:pt idx="15">
                  <c:v>9.7193488775615802E-2</c:v>
                </c:pt>
                <c:pt idx="16">
                  <c:v>7.0813027860457969E-2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C-4A48-8C88-8CDBF8D47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890608"/>
        <c:axId val="1249893968"/>
      </c:lineChart>
      <c:catAx>
        <c:axId val="124989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Underlying Spot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893968"/>
        <c:crosses val="autoZero"/>
        <c:auto val="1"/>
        <c:lblAlgn val="ctr"/>
        <c:lblOffset val="100"/>
        <c:noMultiLvlLbl val="0"/>
      </c:catAx>
      <c:valAx>
        <c:axId val="124989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Vega per 1% Volatility Change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989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446658</xdr:colOff>
      <xdr:row>17</xdr:row>
      <xdr:rowOff>93545</xdr:rowOff>
    </xdr:from>
    <xdr:to>
      <xdr:col>11</xdr:col>
      <xdr:colOff>441613</xdr:colOff>
      <xdr:row>27</xdr:row>
      <xdr:rowOff>118223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D2A300-C4C0-8414-57D5-60C9C4F6EE1D}"/>
            </a:ext>
          </a:extLst>
        </xdr:cNvPr>
        <xdr:cNvSpPr txBox="1"/>
      </xdr:nvSpPr>
      <xdr:spPr>
        <a:xfrm>
          <a:off x="5356363" y="3184841"/>
          <a:ext cx="3891546" cy="18430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The call price increases as the underlying spot price increases.</a:t>
          </a:r>
        </a:p>
        <a:p>
          <a:endParaRPr lang="es-ES" sz="1100"/>
        </a:p>
        <a:p>
          <a:r>
            <a:rPr lang="es-ES" sz="1100"/>
            <a:t>The put price decreases as the underlying spot price increases.</a:t>
          </a:r>
        </a:p>
        <a:p>
          <a:endParaRPr lang="es-ES" sz="1100"/>
        </a:p>
        <a:p>
          <a:r>
            <a:rPr lang="es-ES" sz="1100"/>
            <a:t>Both call and put prices increase when volatility increases.</a:t>
          </a:r>
        </a:p>
        <a:p>
          <a:endParaRPr lang="es-ES" sz="1100"/>
        </a:p>
        <a:p>
          <a:r>
            <a:rPr lang="es-ES" sz="1100"/>
            <a:t>Longer time to maturity generally increases option value.</a:t>
          </a:r>
        </a:p>
        <a:p>
          <a:endParaRPr lang="es-ES" sz="1100"/>
        </a:p>
        <a:p>
          <a:r>
            <a:rPr lang="es-ES" sz="1100"/>
            <a:t>Gamma and Vega are highest when the option is close to at-the-money.</a:t>
          </a:r>
        </a:p>
      </xdr:txBody>
    </xdr:sp>
    <xdr:clientData/>
  </xdr:twoCellAnchor>
  <xdr:twoCellAnchor>
    <xdr:from>
      <xdr:col>2</xdr:col>
      <xdr:colOff>588385</xdr:colOff>
      <xdr:row>32</xdr:row>
      <xdr:rowOff>14718</xdr:rowOff>
    </xdr:from>
    <xdr:to>
      <xdr:col>6</xdr:col>
      <xdr:colOff>646380</xdr:colOff>
      <xdr:row>45</xdr:row>
      <xdr:rowOff>169920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909863-AE3F-4255-AB4B-F624CA637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638175</xdr:colOff>
      <xdr:row>48</xdr:row>
      <xdr:rowOff>14287</xdr:rowOff>
    </xdr:from>
    <xdr:to>
      <xdr:col>7</xdr:col>
      <xdr:colOff>50202</xdr:colOff>
      <xdr:row>61</xdr:row>
      <xdr:rowOff>170354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D55F5A-64C0-4AF1-8402-32CEAF7FC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610900</xdr:colOff>
      <xdr:row>64</xdr:row>
      <xdr:rowOff>12123</xdr:rowOff>
    </xdr:from>
    <xdr:to>
      <xdr:col>7</xdr:col>
      <xdr:colOff>21196</xdr:colOff>
      <xdr:row>77</xdr:row>
      <xdr:rowOff>167326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52D308-8ACA-495D-AF52-678C90C10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7369</xdr:colOff>
      <xdr:row>32</xdr:row>
      <xdr:rowOff>16014</xdr:rowOff>
    </xdr:from>
    <xdr:to>
      <xdr:col>17</xdr:col>
      <xdr:colOff>429045</xdr:colOff>
      <xdr:row>45</xdr:row>
      <xdr:rowOff>171216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0F5781-3232-46F5-BC48-FC1FBF6E9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5628</xdr:colOff>
      <xdr:row>48</xdr:row>
      <xdr:rowOff>22082</xdr:rowOff>
    </xdr:from>
    <xdr:to>
      <xdr:col>17</xdr:col>
      <xdr:colOff>427304</xdr:colOff>
      <xdr:row>61</xdr:row>
      <xdr:rowOff>178150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E8529E-1BC3-4B03-B2D2-C555EEFCF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20781</xdr:colOff>
      <xdr:row>64</xdr:row>
      <xdr:rowOff>4330</xdr:rowOff>
    </xdr:from>
    <xdr:to>
      <xdr:col>17</xdr:col>
      <xdr:colOff>442457</xdr:colOff>
      <xdr:row>77</xdr:row>
      <xdr:rowOff>159532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C679578-62EA-42C9-80D0-044027017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637154</xdr:colOff>
      <xdr:row>38</xdr:row>
      <xdr:rowOff>128587</xdr:rowOff>
    </xdr:from>
    <xdr:to>
      <xdr:col>3</xdr:col>
      <xdr:colOff>4878161</xdr:colOff>
      <xdr:row>46</xdr:row>
      <xdr:rowOff>6803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40B01BC-2E53-0CFF-FCF6-5F950500A8F9}"/>
            </a:ext>
          </a:extLst>
        </xdr:cNvPr>
        <xdr:cNvSpPr txBox="1"/>
      </xdr:nvSpPr>
      <xdr:spPr>
        <a:xfrm>
          <a:off x="637154" y="6925356"/>
          <a:ext cx="7112114" cy="13477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/>
            <a:t>d1 and d2 are intermediate variables that summarise all the information used by the model.</a:t>
          </a:r>
          <a:br>
            <a:rPr lang="es-ES"/>
          </a:br>
          <a:br>
            <a:rPr lang="es-ES"/>
          </a:br>
          <a:r>
            <a:rPr lang="es-ES"/>
            <a:t>N(d1) and N(d2) convert these variables into cumulative probabilities using the standard normal distribution.</a:t>
          </a:r>
          <a:br>
            <a:rPr lang="es-ES"/>
          </a:br>
          <a:br>
            <a:rPr lang="es-ES"/>
          </a:br>
          <a:r>
            <a:rPr lang="es-ES"/>
            <a:t>N(d1) and N(d2) are used to calculate call option prices.</a:t>
          </a:r>
          <a:br>
            <a:rPr lang="es-ES"/>
          </a:br>
          <a:br>
            <a:rPr lang="es-ES"/>
          </a:br>
          <a:r>
            <a:rPr lang="es-ES"/>
            <a:t>N(-d1) and N(-d2) are used to calculate put option prices.</a:t>
          </a:r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645998</xdr:colOff>
      <xdr:row>24</xdr:row>
      <xdr:rowOff>90487</xdr:rowOff>
    </xdr:from>
    <xdr:to>
      <xdr:col>11</xdr:col>
      <xdr:colOff>0</xdr:colOff>
      <xdr:row>45</xdr:row>
      <xdr:rowOff>102052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2FDD73-2DE8-255B-A156-02709A283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13947</xdr:colOff>
      <xdr:row>17</xdr:row>
      <xdr:rowOff>153760</xdr:rowOff>
    </xdr:from>
    <xdr:to>
      <xdr:col>21</xdr:col>
      <xdr:colOff>27214</xdr:colOff>
      <xdr:row>34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309540-E32D-CEFE-B7D7-F21E14E78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75858</xdr:colOff>
      <xdr:row>17</xdr:row>
      <xdr:rowOff>27213</xdr:rowOff>
    </xdr:from>
    <xdr:to>
      <xdr:col>32</xdr:col>
      <xdr:colOff>136072</xdr:colOff>
      <xdr:row>34</xdr:row>
      <xdr:rowOff>115660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BB5A4F-247C-FAB8-D832-E802B7CDD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23813</xdr:colOff>
      <xdr:row>69</xdr:row>
      <xdr:rowOff>19730</xdr:rowOff>
    </xdr:from>
    <xdr:to>
      <xdr:col>5</xdr:col>
      <xdr:colOff>649742</xdr:colOff>
      <xdr:row>84</xdr:row>
      <xdr:rowOff>7484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40CA7C-2650-AA5F-035F-394E416F5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136070</xdr:colOff>
      <xdr:row>69</xdr:row>
      <xdr:rowOff>19730</xdr:rowOff>
    </xdr:from>
    <xdr:to>
      <xdr:col>19</xdr:col>
      <xdr:colOff>183696</xdr:colOff>
      <xdr:row>84</xdr:row>
      <xdr:rowOff>7484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FD0DA9-A8D1-E227-9E34-4E8F03F2D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30615</xdr:colOff>
      <xdr:row>69</xdr:row>
      <xdr:rowOff>26533</xdr:rowOff>
    </xdr:from>
    <xdr:to>
      <xdr:col>11</xdr:col>
      <xdr:colOff>418419</xdr:colOff>
      <xdr:row>84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E9846B-9E85-C534-EE58-085F1184F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EF0D80-FCD1-476C-B842-A91C52A014DF}" name="Table1" displayName="Table1" ref="B5:E11" totalsRowShown="0">
  <autoFilter ref="B5:E11" xr:uid="{97EF0D80-FCD1-476C-B842-A91C52A014DF}"/>
  <tableColumns count="4">
    <tableColumn id="1" xr3:uid="{94B7272C-2687-4AC9-A352-4BF83C1918C8}" name="Input "/>
    <tableColumn id="4" xr3:uid="{77CCBCBE-BA8D-442C-9BB3-A20796805A07}" name="Symbol"/>
    <tableColumn id="2" xr3:uid="{3104A448-731E-4375-9C77-ED791FE8B27E}" name="Value " dataDxfId="6"/>
    <tableColumn id="3" xr3:uid="{11588987-E620-4007-9B18-32F55C24570C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3E53B9-B1A7-4541-A4CF-199327A73085}" name="Table2" displayName="Table2" ref="B14:E25" totalsRowShown="0">
  <autoFilter ref="B14:E25" xr:uid="{BE3E53B9-B1A7-4541-A4CF-199327A73085}"/>
  <tableColumns count="4">
    <tableColumn id="1" xr3:uid="{477D6A61-2405-4256-96DE-E26B6C91A8F6}" name="Calculation" dataDxfId="5"/>
    <tableColumn id="2" xr3:uid="{D26A1763-9771-41BB-BEF8-0E9D62AC08EF}" name="Formula / Value " dataDxfId="4">
      <calculatedColumnFormula>C14-D9*SQRT(D7)</calculatedColumnFormula>
    </tableColumn>
    <tableColumn id="3" xr3:uid="{05ACCC25-5AE5-43A1-BC01-9AA3F5B57AFF}" name="Explanation" dataDxfId="3"/>
    <tableColumn id="4" xr3:uid="{49A4BA5C-DB6A-4345-AFC9-CE4AEBDC6368}" name="Theorical formula 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B555DF-55C9-4FD4-B1CE-23220FBB9F1F}" name="Table3" displayName="Table3" ref="B28:E38" totalsRowShown="0" headerRowDxfId="2">
  <autoFilter ref="B28:E38" xr:uid="{A2B555DF-55C9-4FD4-B1CE-23220FBB9F1F}"/>
  <tableColumns count="4">
    <tableColumn id="1" xr3:uid="{15C50115-C60D-4D4D-BDFE-A520AB2DACAB}" name="Greeks"/>
    <tableColumn id="2" xr3:uid="{3B3EA680-59BF-4F75-B0D7-D523DFC83479}" name="Formula / Value "/>
    <tableColumn id="3" xr3:uid="{13450413-2594-48EF-B93C-AAB56C9F47AB}" name="Explanation"/>
    <tableColumn id="4" xr3:uid="{90C36AFD-EDC4-44DC-8B8D-4DA38A6BEE77}" name="Theorical formula  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21866F-8D7E-47ED-8991-22EEC960EEEC}" name="Table4" displayName="Table4" ref="C7:K24" totalsRowShown="0">
  <autoFilter ref="C7:K24" xr:uid="{A321866F-8D7E-47ED-8991-22EEC960EEEC}"/>
  <tableColumns count="9">
    <tableColumn id="1" xr3:uid="{F4D12A8A-0081-4B24-99F3-D7DAB42201C7}" name="Spot Price"/>
    <tableColumn id="2" xr3:uid="{5E3D2043-5D68-46CE-9D45-B5E7B4BE34F4}" name="d1">
      <calculatedColumnFormula>(LN(C8/Input_Pricing!$D$7)+(Input_Pricing!$D$9-Input_Pricing!$D$11+0.5*Input_Pricing!$D$10^2)*Input_Pricing!$D$8)/(Input_Pricing!$D$10*SQRT(Input_Pricing!$D$8))</calculatedColumnFormula>
    </tableColumn>
    <tableColumn id="3" xr3:uid="{F6937029-65C1-4720-90B8-8A239A5D9ECF}" name="d2">
      <calculatedColumnFormula>D8-Input_Pricing!$D$10*SQRT(Input_Pricing!$D$8)</calculatedColumnFormula>
    </tableColumn>
    <tableColumn id="4" xr3:uid="{EBF3532B-21EC-4BCA-A186-8898279AE1AC}" name="N(d1)">
      <calculatedColumnFormula>_xlfn.NORM.S.DIST(D8,TRUE)</calculatedColumnFormula>
    </tableColumn>
    <tableColumn id="5" xr3:uid="{55F53B75-BDEA-4BD1-9576-9DFD41C13B62}" name="N(d2)">
      <calculatedColumnFormula>_xlfn.NORM.S.DIST(E8,TRUE)</calculatedColumnFormula>
    </tableColumn>
    <tableColumn id="6" xr3:uid="{93D78D1B-F55D-4DD9-8B04-16C7C193A645}" name="N(-d1)">
      <calculatedColumnFormula>_xlfn.NORM.S.DIST(-D8,TRUE)</calculatedColumnFormula>
    </tableColumn>
    <tableColumn id="7" xr3:uid="{1A424437-0FD4-4422-99D7-175575432680}" name="N(-d2)">
      <calculatedColumnFormula>_xlfn.NORM.S.DIST(-E8,TRUE)</calculatedColumnFormula>
    </tableColumn>
    <tableColumn id="8" xr3:uid="{D100EF81-DFCF-4578-8602-A54BACAD6019}" name="Call Pirce">
      <calculatedColumnFormula>C8*EXP(-Input_Pricing!$D$11*Input_Pricing!$D$8)*F8-Input_Pricing!$D$7*EXP(-Input_Pricing!$D$9*Input_Pricing!$D$8)*G8</calculatedColumnFormula>
    </tableColumn>
    <tableColumn id="9" xr3:uid="{B9EB29DA-5693-4465-AE7C-0E1BA97B8CE9}" name="Put Price">
      <calculatedColumnFormula>Input_Pricing!$D$7*EXP(-Input_Pricing!$D$9*Input_Pricing!$D$8)*I8-C8*EXP(-Input_Pricing!$D$11*Input_Pricing!$D$8)*H8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F8F2CE-8292-49DB-9013-F9FDB7E05B1C}" name="Table5" displayName="Table5" ref="M7:U17" totalsRowShown="0">
  <autoFilter ref="M7:U17" xr:uid="{9FF8F2CE-8292-49DB-9013-F9FDB7E05B1C}"/>
  <tableColumns count="9">
    <tableColumn id="1" xr3:uid="{4B5EB4BD-0ABD-431E-836B-CE93022F11E9}" name="Volatility" dataDxfId="1"/>
    <tableColumn id="2" xr3:uid="{62AC1FE3-0DD2-422F-BC8F-D1CD092A78E0}" name="d1">
      <calculatedColumnFormula>(LN(Input_Pricing!$D$6/Input_Pricing!$D$7)+(Input_Pricing!$D$9-Input_Pricing!$D$11+0.5*M8^2)*Input_Pricing!$D$8)/(M8*SQRT(Input_Pricing!$D$8))</calculatedColumnFormula>
    </tableColumn>
    <tableColumn id="3" xr3:uid="{204FF3FB-05AC-4DB5-8B6A-8DBF37B94A69}" name="d2">
      <calculatedColumnFormula>N8-M8*SQRT(Input_Pricing!$D$8)</calculatedColumnFormula>
    </tableColumn>
    <tableColumn id="4" xr3:uid="{968D9FA9-FEC2-47AD-B5FA-83744571E5E7}" name="N(d1)">
      <calculatedColumnFormula>_xlfn.NORM.S.DIST(N8,TRUE)</calculatedColumnFormula>
    </tableColumn>
    <tableColumn id="5" xr3:uid="{E6D86A2E-67E7-4F46-9132-FC015FF95545}" name="N(d2)">
      <calculatedColumnFormula>_xlfn.NORM.S.DIST(O8,TRUE)</calculatedColumnFormula>
    </tableColumn>
    <tableColumn id="6" xr3:uid="{8BEF46C0-FA66-4C75-AAC6-435179873495}" name="N(-d1)">
      <calculatedColumnFormula>_xlfn.NORM.S.DIST(-N8,TRUE)</calculatedColumnFormula>
    </tableColumn>
    <tableColumn id="7" xr3:uid="{70FCEF1C-6EB3-44D6-8511-539AF2FCF7C7}" name="N(-d2)">
      <calculatedColumnFormula>_xlfn.NORM.S.DIST(-O8,TRUE)</calculatedColumnFormula>
    </tableColumn>
    <tableColumn id="8" xr3:uid="{5B329A9D-E4AF-40BA-9F1E-47421AA19090}" name="Call Price">
      <calculatedColumnFormula>Input_Pricing!$D$6*EXP(-Input_Pricing!$D$11*Input_Pricing!$D$8)*P8-Input_Pricing!$D$7*EXP(-Input_Pricing!$D$9*Input_Pricing!$D$8)*Q8</calculatedColumnFormula>
    </tableColumn>
    <tableColumn id="9" xr3:uid="{32BDC234-72AF-48C0-A53D-D279E204CB33}" name="Put Price">
      <calculatedColumnFormula>Input_Pricing!$D$7*EXP(-Input_Pricing!$D$9*Input_Pricing!$D$8)*S8-Input_Pricing!$D$6*EXP(-Input_Pricing!$D$11*Input_Pricing!$D$8)*R8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5D356A-D16B-4E7D-815F-36A37CAB5847}" name="Table6" displayName="Table6" ref="W7:AE15" totalsRowShown="0" headerRowDxfId="0">
  <autoFilter ref="W7:AE15" xr:uid="{CE5D356A-D16B-4E7D-815F-36A37CAB5847}"/>
  <tableColumns count="9">
    <tableColumn id="1" xr3:uid="{F777D48E-2E75-4809-AE8E-20E164BE2771}" name="Time to maturity "/>
    <tableColumn id="2" xr3:uid="{F4792D7C-72B3-4F62-B9A7-AB3229F71A01}" name="d1">
      <calculatedColumnFormula>(LN(Input_Pricing!$D$6/Input_Pricing!$D$7)+(Input_Pricing!$D$9-Input_Pricing!$D$11+0.5*Input_Pricing!$D$10^2)*W8)/(Input_Pricing!$D$10*SQRT(W8))</calculatedColumnFormula>
    </tableColumn>
    <tableColumn id="3" xr3:uid="{99FE1225-B1A5-4470-A1BE-1760EFDB1417}" name="d2">
      <calculatedColumnFormula>X8-Input_Pricing!$D$10*SQRT(W8)</calculatedColumnFormula>
    </tableColumn>
    <tableColumn id="4" xr3:uid="{B73DAC26-D875-41ED-8039-B8F1C9A38549}" name="N(d1)">
      <calculatedColumnFormula>_xlfn.NORM.S.DIST(X8,TRUE)</calculatedColumnFormula>
    </tableColumn>
    <tableColumn id="5" xr3:uid="{6062927B-1A0D-41B0-91FE-9B55F14F442C}" name="N(d2)">
      <calculatedColumnFormula>_xlfn.NORM.S.DIST(Y8,TRUE)</calculatedColumnFormula>
    </tableColumn>
    <tableColumn id="6" xr3:uid="{6E2CD20A-0C90-42B4-AD9A-047849D2D5C6}" name="N(-d1)">
      <calculatedColumnFormula>_xlfn.NORM.S.DIST(-X8,TRUE)</calculatedColumnFormula>
    </tableColumn>
    <tableColumn id="7" xr3:uid="{53991A42-5E8A-40C3-A1A6-BFBDE2EB4080}" name="N(-d2)">
      <calculatedColumnFormula>_xlfn.NORM.S.DIST(-Y8,TRUE)</calculatedColumnFormula>
    </tableColumn>
    <tableColumn id="8" xr3:uid="{796CB7E3-13AE-44CB-A49F-DB01C9EEA7BC}" name="Call Price">
      <calculatedColumnFormula>Input_Pricing!$D$6*EXP(-Input_Pricing!$D$11*W8)*Z8-Input_Pricing!$D$7*EXP(-Input_Pricing!$D$9*W8)*AA8</calculatedColumnFormula>
    </tableColumn>
    <tableColumn id="9" xr3:uid="{E53FDC18-5AC5-4895-9A6F-A10369F6A388}" name="Put Price">
      <calculatedColumnFormula>Input_Pricing!$D$7*EXP(-Input_Pricing!$D$9*W8)*AC8-Input_Pricing!$D$6*EXP(-Input_Pricing!$D$11*W8)*AB8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D5FFB6-6410-40B2-9319-79843BFB12BC}" name="Table7" displayName="Table7" ref="E51:N68" totalsRowShown="0">
  <autoFilter ref="E51:N68" xr:uid="{8ED5FFB6-6410-40B2-9319-79843BFB12BC}"/>
  <tableColumns count="10">
    <tableColumn id="1" xr3:uid="{C5BC8DF8-7EAC-4EC5-A34D-837FA7A90180}" name="Spot Price"/>
    <tableColumn id="2" xr3:uid="{507ED22D-3544-4DBB-84E7-DA87B28C5617}" name="d1">
      <calculatedColumnFormula>(LN(E52/Input_Pricing!$D$7)+(Input_Pricing!$D$9-Input_Pricing!$D$11+0.5*Input_Pricing!$D$10^2)*Input_Pricing!$D$8)/(Input_Pricing!$D$10*SQRT(Input_Pricing!$D$8))</calculatedColumnFormula>
    </tableColumn>
    <tableColumn id="3" xr3:uid="{3A4D5362-8853-41F7-9D10-58B288AF5893}" name="d2">
      <calculatedColumnFormula>F52-Input_Pricing!$D$10*SQRT(Input_Pricing!$D$8)</calculatedColumnFormula>
    </tableColumn>
    <tableColumn id="4" xr3:uid="{2D7FD870-A46E-49ED-9A1F-02118FC34EF8}" name="N(d1)">
      <calculatedColumnFormula>_xlfn.NORM.S.DIST(F52,TRUE)</calculatedColumnFormula>
    </tableColumn>
    <tableColumn id="5" xr3:uid="{3884F9F1-2838-48FC-B7F6-3E1A567941BA}" name="N(d2)">
      <calculatedColumnFormula>_xlfn.NORM.S.DIST(G52,TRUE)</calculatedColumnFormula>
    </tableColumn>
    <tableColumn id="6" xr3:uid="{4652DC51-EDB9-437D-8E70-C558C16C9A57}" name="phi(d1)">
      <calculatedColumnFormula>_xlfn.NORM.S.DIST(F52,FALSE)</calculatedColumnFormula>
    </tableColumn>
    <tableColumn id="7" xr3:uid="{8536C42D-06EB-44A5-B578-06BE55CDC4BD}" name="Delta Call">
      <calculatedColumnFormula>EXP(-Input_Pricing!$D$11*Input_Pricing!$D$8)*H52</calculatedColumnFormula>
    </tableColumn>
    <tableColumn id="8" xr3:uid="{59FF1BF3-2551-4EB2-A662-47D62FB2DFAC}" name="Delta Put">
      <calculatedColumnFormula>EXP(-Input_Pricing!$D$11*Input_Pricing!$D$8)*(H52-1)</calculatedColumnFormula>
    </tableColumn>
    <tableColumn id="9" xr3:uid="{931C2094-E488-4FC9-A05C-ABF62C265D9B}" name="Gamma">
      <calculatedColumnFormula>EXP(-Input_Pricing!$D$11*Input_Pricing!$D$8)*J52/(E52*Input_Pricing!$D$10*SQRT(Input_Pricing!$D$8))</calculatedColumnFormula>
    </tableColumn>
    <tableColumn id="10" xr3:uid="{E7E7232A-7B0D-4361-9C71-D306E62A5727}" name="Vega">
      <calculatedColumnFormula>E52*EXP(-Input_Pricing!$D$11*Input_Pricing!$D$8)*J52*SQRT(Input_Pricing!$D$8)/100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85A3-EAC1-4ABB-B810-DD5E68A1DE50}">
  <dimension ref="D2:N16"/>
  <sheetViews>
    <sheetView showGridLines="0" tabSelected="1" zoomScale="85" zoomScaleNormal="85" workbookViewId="0">
      <selection activeCell="Q17" sqref="Q17"/>
    </sheetView>
  </sheetViews>
  <sheetFormatPr defaultRowHeight="14.25" x14ac:dyDescent="0.45"/>
  <cols>
    <col min="1" max="3" width="9.06640625" style="9"/>
    <col min="4" max="4" width="32.33203125" style="9" bestFit="1" customWidth="1"/>
    <col min="5" max="16384" width="9.06640625" style="9"/>
  </cols>
  <sheetData>
    <row r="2" spans="4:14" x14ac:dyDescent="0.45">
      <c r="F2" s="22" t="s">
        <v>87</v>
      </c>
      <c r="G2" s="22"/>
      <c r="H2" s="22"/>
      <c r="I2" s="22"/>
      <c r="J2" s="22"/>
      <c r="K2" s="22"/>
      <c r="L2" s="22"/>
    </row>
    <row r="3" spans="4:14" x14ac:dyDescent="0.45">
      <c r="F3" s="22"/>
      <c r="G3" s="22"/>
      <c r="H3" s="22"/>
      <c r="I3" s="22"/>
      <c r="J3" s="22"/>
      <c r="K3" s="22"/>
      <c r="L3" s="22"/>
    </row>
    <row r="6" spans="4:14" x14ac:dyDescent="0.45">
      <c r="D6" s="20" t="s">
        <v>88</v>
      </c>
      <c r="E6" s="20"/>
      <c r="H6" s="20" t="s">
        <v>93</v>
      </c>
      <c r="I6" s="20"/>
      <c r="J6" s="20"/>
      <c r="M6" s="20" t="s">
        <v>94</v>
      </c>
      <c r="N6" s="20"/>
    </row>
    <row r="8" spans="4:14" x14ac:dyDescent="0.45">
      <c r="D8" s="10" t="s">
        <v>84</v>
      </c>
      <c r="E8" s="11">
        <f>Input_Pricing!D6</f>
        <v>100</v>
      </c>
      <c r="H8" s="10" t="s">
        <v>86</v>
      </c>
      <c r="I8" s="16"/>
      <c r="J8" s="11">
        <f>Input_Pricing!C21</f>
        <v>10.450583572185565</v>
      </c>
      <c r="M8" s="10" t="s">
        <v>55</v>
      </c>
      <c r="N8" s="11">
        <f>Input_Pricing!C30</f>
        <v>0.6368306511756191</v>
      </c>
    </row>
    <row r="9" spans="4:14" x14ac:dyDescent="0.45">
      <c r="D9" s="12" t="s">
        <v>89</v>
      </c>
      <c r="E9" s="13">
        <f>Input_Pricing!D7</f>
        <v>100</v>
      </c>
      <c r="H9" s="14" t="s">
        <v>82</v>
      </c>
      <c r="I9" s="17"/>
      <c r="J9" s="15">
        <f>Input_Pricing!C22</f>
        <v>5.5735260222569707</v>
      </c>
      <c r="M9" s="12" t="s">
        <v>56</v>
      </c>
      <c r="N9" s="13">
        <f>Input_Pricing!C31</f>
        <v>-0.3631693488243809</v>
      </c>
    </row>
    <row r="10" spans="4:14" x14ac:dyDescent="0.45">
      <c r="D10" s="12" t="s">
        <v>90</v>
      </c>
      <c r="E10" s="13">
        <f>Input_Pricing!D8</f>
        <v>1</v>
      </c>
      <c r="M10" s="12" t="s">
        <v>57</v>
      </c>
      <c r="N10" s="13">
        <f>Input_Pricing!C32</f>
        <v>1.8762017345846895E-2</v>
      </c>
    </row>
    <row r="11" spans="4:14" x14ac:dyDescent="0.45">
      <c r="D11" s="12" t="s">
        <v>91</v>
      </c>
      <c r="E11" s="13">
        <f>Input_Pricing!D9</f>
        <v>0.05</v>
      </c>
      <c r="M11" s="12" t="s">
        <v>58</v>
      </c>
      <c r="N11" s="13">
        <f>Input_Pricing!C33</f>
        <v>0.37524034691693792</v>
      </c>
    </row>
    <row r="12" spans="4:14" x14ac:dyDescent="0.45">
      <c r="D12" s="12" t="s">
        <v>85</v>
      </c>
      <c r="E12" s="13">
        <f>Input_Pricing!D10</f>
        <v>0.2</v>
      </c>
      <c r="M12" s="12" t="s">
        <v>59</v>
      </c>
      <c r="N12" s="13">
        <f>Input_Pricing!C34</f>
        <v>-1.7572678209419719E-2</v>
      </c>
    </row>
    <row r="13" spans="4:14" x14ac:dyDescent="0.45">
      <c r="D13" s="14" t="s">
        <v>92</v>
      </c>
      <c r="E13" s="15">
        <f>Input_Pricing!D11</f>
        <v>0</v>
      </c>
      <c r="M13" s="12" t="s">
        <v>60</v>
      </c>
      <c r="N13" s="13">
        <f>Input_Pricing!C35</f>
        <v>-4.5421381477661E-3</v>
      </c>
    </row>
    <row r="14" spans="4:14" x14ac:dyDescent="0.45">
      <c r="M14" s="12" t="s">
        <v>61</v>
      </c>
      <c r="N14" s="13">
        <f>Input_Pricing!C36</f>
        <v>0.53232481545376342</v>
      </c>
    </row>
    <row r="15" spans="4:14" x14ac:dyDescent="0.45">
      <c r="M15" s="14" t="s">
        <v>62</v>
      </c>
      <c r="N15" s="15">
        <f>Input_Pricing!C37</f>
        <v>-0.41890460904695059</v>
      </c>
    </row>
    <row r="16" spans="4:14" x14ac:dyDescent="0.45">
      <c r="H16" s="21" t="s">
        <v>95</v>
      </c>
      <c r="I16" s="21"/>
      <c r="J16" s="21"/>
    </row>
  </sheetData>
  <mergeCells count="5">
    <mergeCell ref="D6:E6"/>
    <mergeCell ref="H6:J6"/>
    <mergeCell ref="M6:N6"/>
    <mergeCell ref="H16:J16"/>
    <mergeCell ref="F2:L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C782-6401-4A27-9439-C9F841A43E7B}">
  <dimension ref="B2:E37"/>
  <sheetViews>
    <sheetView showGridLines="0" topLeftCell="A4" zoomScale="70" zoomScaleNormal="70" workbookViewId="0">
      <selection activeCell="J9" sqref="J9"/>
    </sheetView>
  </sheetViews>
  <sheetFormatPr defaultColWidth="9.1328125" defaultRowHeight="14.25" x14ac:dyDescent="0.45"/>
  <cols>
    <col min="2" max="2" width="15.19921875" bestFit="1" customWidth="1"/>
    <col min="3" max="3" width="15.796875" bestFit="1" customWidth="1"/>
    <col min="4" max="4" width="92.6640625" bestFit="1" customWidth="1"/>
    <col min="5" max="5" width="60.6640625" bestFit="1" customWidth="1"/>
  </cols>
  <sheetData>
    <row r="2" spans="2:5" ht="14.25" customHeight="1" x14ac:dyDescent="0.45">
      <c r="D2" s="23" t="s">
        <v>30</v>
      </c>
      <c r="E2" s="23"/>
    </row>
    <row r="3" spans="2:5" ht="14.25" customHeight="1" x14ac:dyDescent="0.45">
      <c r="D3" s="23"/>
      <c r="E3" s="23"/>
    </row>
    <row r="5" spans="2:5" x14ac:dyDescent="0.45">
      <c r="B5" t="s">
        <v>0</v>
      </c>
      <c r="C5" t="s">
        <v>14</v>
      </c>
      <c r="D5" t="s">
        <v>1</v>
      </c>
      <c r="E5" t="s">
        <v>2</v>
      </c>
    </row>
    <row r="6" spans="2:5" x14ac:dyDescent="0.45">
      <c r="B6" t="s">
        <v>3</v>
      </c>
      <c r="C6" t="s">
        <v>15</v>
      </c>
      <c r="D6" s="5">
        <v>100</v>
      </c>
      <c r="E6" t="s">
        <v>4</v>
      </c>
    </row>
    <row r="7" spans="2:5" x14ac:dyDescent="0.45">
      <c r="B7" t="s">
        <v>5</v>
      </c>
      <c r="C7" t="s">
        <v>16</v>
      </c>
      <c r="D7" s="5">
        <v>100</v>
      </c>
      <c r="E7" t="s">
        <v>31</v>
      </c>
    </row>
    <row r="8" spans="2:5" x14ac:dyDescent="0.45">
      <c r="B8" t="s">
        <v>6</v>
      </c>
      <c r="C8" t="s">
        <v>17</v>
      </c>
      <c r="D8" s="5">
        <v>1</v>
      </c>
      <c r="E8" t="s">
        <v>7</v>
      </c>
    </row>
    <row r="9" spans="2:5" x14ac:dyDescent="0.45">
      <c r="B9" t="s">
        <v>8</v>
      </c>
      <c r="C9" t="s">
        <v>18</v>
      </c>
      <c r="D9" s="18">
        <v>0.05</v>
      </c>
      <c r="E9" t="s">
        <v>9</v>
      </c>
    </row>
    <row r="10" spans="2:5" x14ac:dyDescent="0.45">
      <c r="B10" t="s">
        <v>13</v>
      </c>
      <c r="C10" t="s">
        <v>19</v>
      </c>
      <c r="D10" s="18">
        <v>0.2</v>
      </c>
      <c r="E10" t="s">
        <v>10</v>
      </c>
    </row>
    <row r="11" spans="2:5" x14ac:dyDescent="0.45">
      <c r="B11" t="s">
        <v>11</v>
      </c>
      <c r="C11" t="s">
        <v>20</v>
      </c>
      <c r="D11" s="19">
        <v>0</v>
      </c>
      <c r="E11" t="s">
        <v>12</v>
      </c>
    </row>
    <row r="14" spans="2:5" x14ac:dyDescent="0.45">
      <c r="B14" t="s">
        <v>21</v>
      </c>
      <c r="C14" t="s">
        <v>22</v>
      </c>
      <c r="D14" t="s">
        <v>23</v>
      </c>
      <c r="E14" t="s">
        <v>53</v>
      </c>
    </row>
    <row r="15" spans="2:5" x14ac:dyDescent="0.45">
      <c r="B15" s="5" t="s">
        <v>24</v>
      </c>
      <c r="C15" s="5">
        <f>(LN(D6/D7)+(D9-D11+0.5*D10^2)*D8)/(D10*SQRT(D8))</f>
        <v>0.35000000000000003</v>
      </c>
      <c r="D15" s="6" t="s">
        <v>28</v>
      </c>
      <c r="E15" t="s">
        <v>26</v>
      </c>
    </row>
    <row r="16" spans="2:5" x14ac:dyDescent="0.45">
      <c r="B16" s="5" t="s">
        <v>25</v>
      </c>
      <c r="C16" s="5">
        <f>C15-D10*SQRT(D8)</f>
        <v>0.15000000000000002</v>
      </c>
      <c r="D16" s="6" t="s">
        <v>29</v>
      </c>
      <c r="E16" t="s">
        <v>27</v>
      </c>
    </row>
    <row r="17" spans="2:5" x14ac:dyDescent="0.45">
      <c r="B17" s="5" t="s">
        <v>32</v>
      </c>
      <c r="C17" s="5">
        <f>_xlfn.NORM.S.DIST(C15,TRUE)</f>
        <v>0.6368306511756191</v>
      </c>
      <c r="D17" s="6" t="s">
        <v>44</v>
      </c>
    </row>
    <row r="18" spans="2:5" x14ac:dyDescent="0.45">
      <c r="B18" s="5" t="s">
        <v>33</v>
      </c>
      <c r="C18" s="5">
        <f>_xlfn.NORM.S.DIST(C16,TRUE)</f>
        <v>0.5596176923702425</v>
      </c>
      <c r="D18" s="6" t="s">
        <v>45</v>
      </c>
    </row>
    <row r="19" spans="2:5" x14ac:dyDescent="0.45">
      <c r="B19" s="5" t="s">
        <v>34</v>
      </c>
      <c r="C19" s="5">
        <f>_xlfn.NORM.S.DIST(-C15,TRUE)</f>
        <v>0.3631693488243809</v>
      </c>
      <c r="D19" s="6" t="s">
        <v>46</v>
      </c>
    </row>
    <row r="20" spans="2:5" x14ac:dyDescent="0.45">
      <c r="B20" s="5" t="s">
        <v>35</v>
      </c>
      <c r="C20" s="5">
        <f>_xlfn.NORM.S.DIST(-C16,TRUE)</f>
        <v>0.44038230762975744</v>
      </c>
      <c r="D20" s="6" t="s">
        <v>47</v>
      </c>
    </row>
    <row r="21" spans="2:5" x14ac:dyDescent="0.45">
      <c r="B21" s="5" t="s">
        <v>36</v>
      </c>
      <c r="C21" s="5">
        <f>D6*EXP(-D11*D8)*C17-D7*EXP(-D9*D8)*C18</f>
        <v>10.450583572185565</v>
      </c>
      <c r="D21" s="6" t="s">
        <v>51</v>
      </c>
      <c r="E21" t="s">
        <v>38</v>
      </c>
    </row>
    <row r="22" spans="2:5" x14ac:dyDescent="0.45">
      <c r="B22" s="5" t="s">
        <v>37</v>
      </c>
      <c r="C22" s="4">
        <f>D7*EXP(-D9*D8)*C20-D6*EXP(-D11*D8)*C19</f>
        <v>5.5735260222569707</v>
      </c>
      <c r="D22" s="6" t="s">
        <v>52</v>
      </c>
      <c r="E22" t="s">
        <v>39</v>
      </c>
    </row>
    <row r="23" spans="2:5" x14ac:dyDescent="0.45">
      <c r="B23" s="5" t="s">
        <v>40</v>
      </c>
      <c r="C23" s="4">
        <f>C21-C22</f>
        <v>4.877057549928594</v>
      </c>
      <c r="D23" s="7" t="s">
        <v>48</v>
      </c>
    </row>
    <row r="24" spans="2:5" x14ac:dyDescent="0.45">
      <c r="B24" s="5" t="s">
        <v>41</v>
      </c>
      <c r="C24" s="4">
        <f>D6*EXP(-D11*D8)-D7*EXP(-D9*D8)</f>
        <v>4.877057549928594</v>
      </c>
      <c r="D24" s="8" t="s">
        <v>49</v>
      </c>
      <c r="E24" t="s">
        <v>43</v>
      </c>
    </row>
    <row r="25" spans="2:5" x14ac:dyDescent="0.45">
      <c r="B25" s="5" t="s">
        <v>42</v>
      </c>
      <c r="C25" s="5">
        <f>C23-C24</f>
        <v>0</v>
      </c>
      <c r="D25" s="6" t="s">
        <v>50</v>
      </c>
    </row>
    <row r="28" spans="2:5" x14ac:dyDescent="0.45">
      <c r="B28" t="s">
        <v>63</v>
      </c>
      <c r="C28" s="2" t="s">
        <v>22</v>
      </c>
      <c r="D28" s="2" t="s">
        <v>23</v>
      </c>
      <c r="E28" s="3" t="s">
        <v>53</v>
      </c>
    </row>
    <row r="29" spans="2:5" x14ac:dyDescent="0.45">
      <c r="B29" t="s">
        <v>54</v>
      </c>
      <c r="C29">
        <f>_xlfn.NORM.S.DIST(C15,FALSE)</f>
        <v>0.37524034691693792</v>
      </c>
      <c r="D29" t="s">
        <v>78</v>
      </c>
    </row>
    <row r="30" spans="2:5" x14ac:dyDescent="0.45">
      <c r="B30" t="s">
        <v>55</v>
      </c>
      <c r="C30">
        <f>EXP(-D11*D8)*C17</f>
        <v>0.6368306511756191</v>
      </c>
      <c r="D30" t="s">
        <v>65</v>
      </c>
      <c r="E30" t="s">
        <v>64</v>
      </c>
    </row>
    <row r="31" spans="2:5" x14ac:dyDescent="0.45">
      <c r="B31" t="s">
        <v>56</v>
      </c>
      <c r="C31">
        <f>EXP(-D11*D8)*(C17-1)</f>
        <v>-0.3631693488243809</v>
      </c>
      <c r="D31" t="s">
        <v>67</v>
      </c>
      <c r="E31" t="s">
        <v>66</v>
      </c>
    </row>
    <row r="32" spans="2:5" x14ac:dyDescent="0.45">
      <c r="B32" t="s">
        <v>57</v>
      </c>
      <c r="C32">
        <f>EXP(-D11*D8)*C29/(D6*D10*SQRT(D8))</f>
        <v>1.8762017345846895E-2</v>
      </c>
      <c r="D32" t="s">
        <v>69</v>
      </c>
      <c r="E32" t="s">
        <v>68</v>
      </c>
    </row>
    <row r="33" spans="2:5" x14ac:dyDescent="0.45">
      <c r="B33" t="s">
        <v>58</v>
      </c>
      <c r="C33">
        <f>D6*EXP(-D11*D8)*C29*SQRT(D8)/100</f>
        <v>0.37524034691693792</v>
      </c>
      <c r="D33" t="s">
        <v>71</v>
      </c>
      <c r="E33" t="s">
        <v>70</v>
      </c>
    </row>
    <row r="34" spans="2:5" x14ac:dyDescent="0.45">
      <c r="B34" t="s">
        <v>59</v>
      </c>
      <c r="C34">
        <f>(-(D6*EXP(-D11*D8)*C29*D10)/(2*SQRT(D8))-D9*D7*EXP(-D9*D8)*C18+D11*D6*EXP(-D11*D8)*C17)/365</f>
        <v>-1.7572678209419719E-2</v>
      </c>
      <c r="D34" t="s">
        <v>73</v>
      </c>
      <c r="E34" t="s">
        <v>72</v>
      </c>
    </row>
    <row r="35" spans="2:5" x14ac:dyDescent="0.45">
      <c r="B35" t="s">
        <v>60</v>
      </c>
      <c r="C35">
        <f>(-(D6*EXP(-D11*D8)*C29*D10)/(2*SQRT(D8))+D9*D7*EXP(-D9*D8)*C20-D11*D6*EXP(-D11*D8)*C19)/365</f>
        <v>-4.5421381477661E-3</v>
      </c>
      <c r="D35" t="s">
        <v>80</v>
      </c>
      <c r="E35" t="s">
        <v>74</v>
      </c>
    </row>
    <row r="36" spans="2:5" x14ac:dyDescent="0.45">
      <c r="B36" t="s">
        <v>61</v>
      </c>
      <c r="C36">
        <f>D7*D8*EXP(-D9*D8)*C18/100</f>
        <v>0.53232481545376342</v>
      </c>
      <c r="D36" t="s">
        <v>76</v>
      </c>
      <c r="E36" t="s">
        <v>75</v>
      </c>
    </row>
    <row r="37" spans="2:5" x14ac:dyDescent="0.45">
      <c r="B37" t="s">
        <v>62</v>
      </c>
      <c r="C37">
        <f>-D7*D8*EXP(-D9*D8)*C20/100</f>
        <v>-0.41890460904695059</v>
      </c>
      <c r="D37" t="s">
        <v>79</v>
      </c>
      <c r="E37" t="s">
        <v>77</v>
      </c>
    </row>
  </sheetData>
  <mergeCells count="1">
    <mergeCell ref="D2:E3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9FB9-0C61-49BA-9FD2-738149E09CF0}">
  <dimension ref="C2:AE68"/>
  <sheetViews>
    <sheetView showGridLines="0" topLeftCell="C1" zoomScale="70" zoomScaleNormal="70" workbookViewId="0">
      <selection activeCell="Y46" sqref="Y46"/>
    </sheetView>
  </sheetViews>
  <sheetFormatPr defaultRowHeight="14.25" x14ac:dyDescent="0.45"/>
  <cols>
    <col min="1" max="1" width="10.73046875" customWidth="1"/>
    <col min="3" max="3" width="12.33203125" bestFit="1" customWidth="1"/>
    <col min="4" max="7" width="12.9296875" bestFit="1" customWidth="1"/>
    <col min="8" max="11" width="12.33203125" bestFit="1" customWidth="1"/>
    <col min="12" max="12" width="12.9296875" bestFit="1" customWidth="1"/>
    <col min="13" max="14" width="12.33203125" bestFit="1" customWidth="1"/>
    <col min="15" max="15" width="12.9296875" bestFit="1" customWidth="1"/>
    <col min="16" max="21" width="12.33203125" bestFit="1" customWidth="1"/>
    <col min="23" max="23" width="17.86328125" bestFit="1" customWidth="1"/>
    <col min="24" max="31" width="12.33203125" bestFit="1" customWidth="1"/>
  </cols>
  <sheetData>
    <row r="2" spans="3:31" x14ac:dyDescent="0.45">
      <c r="E2" s="23" t="s">
        <v>81</v>
      </c>
      <c r="F2" s="23"/>
      <c r="G2" s="23"/>
      <c r="H2" s="23"/>
      <c r="I2" s="23"/>
    </row>
    <row r="3" spans="3:31" x14ac:dyDescent="0.45">
      <c r="E3" s="23"/>
      <c r="F3" s="23"/>
      <c r="G3" s="23"/>
      <c r="H3" s="23"/>
      <c r="I3" s="23"/>
    </row>
    <row r="4" spans="3:31" x14ac:dyDescent="0.45">
      <c r="E4" s="23"/>
      <c r="F4" s="23"/>
      <c r="G4" s="23"/>
      <c r="H4" s="23"/>
      <c r="I4" s="23"/>
    </row>
    <row r="7" spans="3:31" x14ac:dyDescent="0.45">
      <c r="C7" t="s">
        <v>84</v>
      </c>
      <c r="D7" t="s">
        <v>24</v>
      </c>
      <c r="E7" t="s">
        <v>25</v>
      </c>
      <c r="F7" t="s">
        <v>32</v>
      </c>
      <c r="G7" t="s">
        <v>33</v>
      </c>
      <c r="H7" t="s">
        <v>34</v>
      </c>
      <c r="I7" t="s">
        <v>35</v>
      </c>
      <c r="J7" t="s">
        <v>83</v>
      </c>
      <c r="K7" t="s">
        <v>82</v>
      </c>
      <c r="M7" t="s">
        <v>85</v>
      </c>
      <c r="N7" t="s">
        <v>24</v>
      </c>
      <c r="O7" t="s">
        <v>25</v>
      </c>
      <c r="P7" t="s">
        <v>32</v>
      </c>
      <c r="Q7" t="s">
        <v>33</v>
      </c>
      <c r="R7" t="s">
        <v>34</v>
      </c>
      <c r="S7" t="s">
        <v>35</v>
      </c>
      <c r="T7" t="s">
        <v>86</v>
      </c>
      <c r="U7" t="s">
        <v>82</v>
      </c>
      <c r="W7" t="s">
        <v>6</v>
      </c>
      <c r="X7" s="2" t="s">
        <v>24</v>
      </c>
      <c r="Y7" s="2" t="s">
        <v>25</v>
      </c>
      <c r="Z7" s="2" t="s">
        <v>32</v>
      </c>
      <c r="AA7" s="2" t="s">
        <v>33</v>
      </c>
      <c r="AB7" s="2" t="s">
        <v>34</v>
      </c>
      <c r="AC7" s="2" t="s">
        <v>35</v>
      </c>
      <c r="AD7" s="2" t="s">
        <v>86</v>
      </c>
      <c r="AE7" s="3" t="s">
        <v>82</v>
      </c>
    </row>
    <row r="8" spans="3:31" x14ac:dyDescent="0.45">
      <c r="C8">
        <v>60</v>
      </c>
      <c r="D8">
        <f>(LN(C8/Input_Pricing!$D$7)+(Input_Pricing!$D$9-Input_Pricing!$D$11+0.5*Input_Pricing!$D$10^2)*Input_Pricing!$D$8)/(Input_Pricing!$D$10*SQRT(Input_Pricing!$D$8))</f>
        <v>-2.2041281188299533</v>
      </c>
      <c r="E8">
        <f>D8-Input_Pricing!$D$10*SQRT(Input_Pricing!$D$8)</f>
        <v>-2.4041281188299535</v>
      </c>
      <c r="F8">
        <f>_xlfn.NORM.S.DIST(D8,TRUE)</f>
        <v>1.3757667572379631E-2</v>
      </c>
      <c r="G8">
        <f>_xlfn.NORM.S.DIST(E8,TRUE)</f>
        <v>8.1055453543928818E-3</v>
      </c>
      <c r="H8">
        <f>_xlfn.NORM.S.DIST(-D8,TRUE)</f>
        <v>0.98624233242762038</v>
      </c>
      <c r="I8">
        <f>_xlfn.NORM.S.DIST(-E8,TRUE)</f>
        <v>0.9918944546456071</v>
      </c>
      <c r="J8">
        <f>C8*EXP(-Input_Pricing!$D$11*Input_Pricing!$D$8)*F8-Input_Pricing!$D$7*EXP(-Input_Pricing!$D$9*Input_Pricing!$D$8)*G8</f>
        <v>5.4436730070420158E-2</v>
      </c>
      <c r="K8">
        <f>Input_Pricing!$D$7*EXP(-Input_Pricing!$D$9*Input_Pricing!$D$8)*I8-C8*EXP(-Input_Pricing!$D$11*Input_Pricing!$D$8)*H8</f>
        <v>35.17737918014182</v>
      </c>
      <c r="M8" s="1">
        <v>0.05</v>
      </c>
      <c r="N8">
        <f>(LN(Input_Pricing!$D$6/Input_Pricing!$D$7)+(Input_Pricing!$D$9-Input_Pricing!$D$11+0.5*M8^2)*Input_Pricing!$D$8)/(M8*SQRT(Input_Pricing!$D$8))</f>
        <v>1.0249999999999999</v>
      </c>
      <c r="O8">
        <f>N8-M8*SQRT(Input_Pricing!$D$8)</f>
        <v>0.97499999999999987</v>
      </c>
      <c r="P8">
        <f>_xlfn.NORM.S.DIST(N8,TRUE)</f>
        <v>0.84731840616688969</v>
      </c>
      <c r="Q8">
        <f>_xlfn.NORM.S.DIST(O8,TRUE)</f>
        <v>0.83521987001968956</v>
      </c>
      <c r="R8">
        <f>_xlfn.NORM.S.DIST(-N8,TRUE)</f>
        <v>0.15268159383311036</v>
      </c>
      <c r="S8">
        <f>_xlfn.NORM.S.DIST(-O8,TRUE)</f>
        <v>0.16478012998031041</v>
      </c>
      <c r="T8">
        <f>Input_Pricing!$D$6*EXP(-Input_Pricing!$D$11*Input_Pricing!$D$8)*P8-Input_Pricing!$D$7*EXP(-Input_Pricing!$D$9*Input_Pricing!$D$8)*Q8</f>
        <v>5.2832689876499188</v>
      </c>
      <c r="U8">
        <f>Input_Pricing!$D$7*EXP(-Input_Pricing!$D$9*Input_Pricing!$D$8)*S8-Input_Pricing!$D$6*EXP(-Input_Pricing!$D$11*Input_Pricing!$D$8)*R8</f>
        <v>0.40621143772131596</v>
      </c>
      <c r="W8">
        <v>0.1</v>
      </c>
      <c r="X8">
        <f>(LN(Input_Pricing!$D$6/Input_Pricing!$D$7)+(Input_Pricing!$D$9-Input_Pricing!$D$11+0.5*Input_Pricing!$D$10^2)*W8)/(Input_Pricing!$D$10*SQRT(W8))</f>
        <v>0.11067971810589328</v>
      </c>
      <c r="Y8">
        <f>X8-Input_Pricing!$D$10*SQRT(W8)</f>
        <v>4.743416490252568E-2</v>
      </c>
      <c r="Z8">
        <f>_xlfn.NORM.S.DIST(X8,TRUE)</f>
        <v>0.54406483512123027</v>
      </c>
      <c r="AA8">
        <f>_xlfn.NORM.S.DIST(Y8,TRUE)</f>
        <v>0.51891639999929629</v>
      </c>
      <c r="AB8">
        <f>_xlfn.NORM.S.DIST(-X8,TRUE)</f>
        <v>0.45593516487876973</v>
      </c>
      <c r="AC8">
        <f>_xlfn.NORM.S.DIST(-Y8,TRUE)</f>
        <v>0.48108360000070366</v>
      </c>
      <c r="AD8">
        <f>Input_Pricing!$D$6*EXP(-Input_Pricing!$D$11*W8)*Z8-Input_Pricing!$D$7*EXP(-Input_Pricing!$D$9*W8)*AA8</f>
        <v>2.7736541464188775</v>
      </c>
      <c r="AE8">
        <f>Input_Pricing!$D$7*EXP(-Input_Pricing!$D$9*W8)*AC8-Input_Pricing!$D$6*EXP(-Input_Pricing!$D$11*W8)*AB8</f>
        <v>2.2749020656871153</v>
      </c>
    </row>
    <row r="9" spans="3:31" x14ac:dyDescent="0.45">
      <c r="C9">
        <v>65</v>
      </c>
      <c r="D9">
        <f>(LN(C9/Input_Pricing!$D$7)+(Input_Pricing!$D$9-Input_Pricing!$D$11+0.5*Input_Pricing!$D$10^2)*Input_Pricing!$D$8)/(Input_Pricing!$D$10*SQRT(Input_Pricing!$D$8))</f>
        <v>-1.8039145804622709</v>
      </c>
      <c r="E9">
        <f>D9-Input_Pricing!$D$10*SQRT(Input_Pricing!$D$8)</f>
        <v>-2.0039145804622711</v>
      </c>
      <c r="F9">
        <f t="shared" ref="F9:F24" si="0">_xlfn.NORM.S.DIST(D9,TRUE)</f>
        <v>3.5622349442744658E-2</v>
      </c>
      <c r="G9">
        <f t="shared" ref="G9:G24" si="1">_xlfn.NORM.S.DIST(E9,TRUE)</f>
        <v>2.2539605701555516E-2</v>
      </c>
      <c r="H9">
        <f t="shared" ref="H9:H24" si="2">_xlfn.NORM.S.DIST(-D9,TRUE)</f>
        <v>0.96437765055725533</v>
      </c>
      <c r="I9">
        <f t="shared" ref="I9:I24" si="3">_xlfn.NORM.S.DIST(-E9,TRUE)</f>
        <v>0.97746039429844445</v>
      </c>
      <c r="J9">
        <f>C9*EXP(-Input_Pricing!$D$11*Input_Pricing!$D$8)*F9-Input_Pricing!$D$7*EXP(-Input_Pricing!$D$9*Input_Pricing!$D$8)*G9</f>
        <v>0.17141909778203601</v>
      </c>
      <c r="K9">
        <f>Input_Pricing!$D$7*EXP(-Input_Pricing!$D$9*Input_Pricing!$D$8)*I9-C9*EXP(-Input_Pricing!$D$11*Input_Pricing!$D$8)*H9</f>
        <v>30.294361547853448</v>
      </c>
      <c r="M9" s="1">
        <v>0.1</v>
      </c>
      <c r="N9">
        <f>(LN(Input_Pricing!$D$6/Input_Pricing!$D$7)+(Input_Pricing!$D$9-Input_Pricing!$D$11+0.5*M9^2)*Input_Pricing!$D$8)/(M9*SQRT(Input_Pricing!$D$8))</f>
        <v>0.55000000000000004</v>
      </c>
      <c r="O9">
        <f>N9-M9*SQRT(Input_Pricing!$D$8)</f>
        <v>0.45000000000000007</v>
      </c>
      <c r="P9">
        <f t="shared" ref="P9:P17" si="4">_xlfn.NORM.S.DIST(N9,TRUE)</f>
        <v>0.70884031321165364</v>
      </c>
      <c r="Q9">
        <f t="shared" ref="Q9:Q17" si="5">_xlfn.NORM.S.DIST(O9,TRUE)</f>
        <v>0.67364477971208003</v>
      </c>
      <c r="R9">
        <f t="shared" ref="R9:R17" si="6">_xlfn.NORM.S.DIST(-N9,TRUE)</f>
        <v>0.29115968678834636</v>
      </c>
      <c r="S9">
        <f t="shared" ref="S9:S17" si="7">_xlfn.NORM.S.DIST(-O9,TRUE)</f>
        <v>0.32635522028791997</v>
      </c>
      <c r="T9">
        <f>Input_Pricing!$D$6*EXP(-Input_Pricing!$D$11*Input_Pricing!$D$8)*P9-Input_Pricing!$D$7*EXP(-Input_Pricing!$D$9*Input_Pricing!$D$8)*Q9</f>
        <v>6.804957708822144</v>
      </c>
      <c r="U9">
        <f>Input_Pricing!$D$7*EXP(-Input_Pricing!$D$9*Input_Pricing!$D$8)*S9-Input_Pricing!$D$6*EXP(-Input_Pricing!$D$11*Input_Pricing!$D$8)*R9</f>
        <v>1.92790015889355</v>
      </c>
      <c r="W9">
        <v>0.25</v>
      </c>
      <c r="X9">
        <f>(LN(Input_Pricing!$D$6/Input_Pricing!$D$7)+(Input_Pricing!$D$9-Input_Pricing!$D$11+0.5*Input_Pricing!$D$10^2)*W9)/(Input_Pricing!$D$10*SQRT(W9))</f>
        <v>0.17500000000000002</v>
      </c>
      <c r="Y9">
        <f>X9-Input_Pricing!$D$10*SQRT(W9)</f>
        <v>7.5000000000000011E-2</v>
      </c>
      <c r="Z9">
        <f t="shared" ref="Z9:Z15" si="8">_xlfn.NORM.S.DIST(X9,TRUE)</f>
        <v>0.56946018320767378</v>
      </c>
      <c r="AA9">
        <f t="shared" ref="AA9:AA15" si="9">_xlfn.NORM.S.DIST(Y9,TRUE)</f>
        <v>0.52989264405289482</v>
      </c>
      <c r="AB9">
        <f t="shared" ref="AB9:AB15" si="10">_xlfn.NORM.S.DIST(-X9,TRUE)</f>
        <v>0.43053981679232628</v>
      </c>
      <c r="AC9">
        <f t="shared" ref="AC9:AC15" si="11">_xlfn.NORM.S.DIST(-Y9,TRUE)</f>
        <v>0.47010735594710523</v>
      </c>
      <c r="AD9">
        <f>Input_Pricing!$D$6*EXP(-Input_Pricing!$D$11*W9)*Z9-Input_Pricing!$D$7*EXP(-Input_Pricing!$D$9*W9)*AA9</f>
        <v>4.6149971296028696</v>
      </c>
      <c r="AE9">
        <f>Input_Pricing!$D$7*EXP(-Input_Pricing!$D$9*W9)*AC9-Input_Pricing!$D$6*EXP(-Input_Pricing!$D$11*W9)*AB9</f>
        <v>3.372777178991015</v>
      </c>
    </row>
    <row r="10" spans="3:31" x14ac:dyDescent="0.45">
      <c r="C10">
        <v>70</v>
      </c>
      <c r="D10">
        <f>(LN(C10/Input_Pricing!$D$7)+(Input_Pricing!$D$9-Input_Pricing!$D$11+0.5*Input_Pricing!$D$10^2)*Input_Pricing!$D$8)/(Input_Pricing!$D$10*SQRT(Input_Pricing!$D$8))</f>
        <v>-1.4333747196936621</v>
      </c>
      <c r="E10">
        <f>D10-Input_Pricing!$D$10*SQRT(Input_Pricing!$D$8)</f>
        <v>-1.6333747196936621</v>
      </c>
      <c r="F10">
        <f t="shared" si="0"/>
        <v>7.5875389491867534E-2</v>
      </c>
      <c r="G10">
        <f t="shared" si="1"/>
        <v>5.1195105289887979E-2</v>
      </c>
      <c r="H10">
        <f t="shared" si="2"/>
        <v>0.92412461050813244</v>
      </c>
      <c r="I10">
        <f t="shared" si="3"/>
        <v>0.94880489471011198</v>
      </c>
      <c r="J10">
        <f>C10*EXP(-Input_Pricing!$D$11*Input_Pricing!$D$8)*F10-Input_Pricing!$D$7*EXP(-Input_Pricing!$D$9*Input_Pricing!$D$8)*G10</f>
        <v>0.44144821021536718</v>
      </c>
      <c r="K10">
        <f>Input_Pricing!$D$7*EXP(-Input_Pricing!$D$9*Input_Pricing!$D$8)*I10-C10*EXP(-Input_Pricing!$D$11*Input_Pricing!$D$8)*H10</f>
        <v>25.564390660286776</v>
      </c>
      <c r="M10" s="1">
        <v>0.15</v>
      </c>
      <c r="N10">
        <f>(LN(Input_Pricing!$D$6/Input_Pricing!$D$7)+(Input_Pricing!$D$9-Input_Pricing!$D$11+0.5*M10^2)*Input_Pricing!$D$8)/(M10*SQRT(Input_Pricing!$D$8))</f>
        <v>0.40833333333333333</v>
      </c>
      <c r="O10">
        <f>N10-M10*SQRT(Input_Pricing!$D$8)</f>
        <v>0.2583333333333333</v>
      </c>
      <c r="P10">
        <f t="shared" si="4"/>
        <v>0.6584855148307418</v>
      </c>
      <c r="Q10">
        <f t="shared" si="5"/>
        <v>0.6019251685894631</v>
      </c>
      <c r="R10">
        <f t="shared" si="6"/>
        <v>0.3415144851692582</v>
      </c>
      <c r="S10">
        <f t="shared" si="7"/>
        <v>0.39807483141053696</v>
      </c>
      <c r="T10">
        <f>Input_Pricing!$D$6*EXP(-Input_Pricing!$D$11*Input_Pricing!$D$8)*P10-Input_Pricing!$D$7*EXP(-Input_Pricing!$D$9*Input_Pricing!$D$8)*Q10</f>
        <v>8.5916583120891445</v>
      </c>
      <c r="U10">
        <f>Input_Pricing!$D$7*EXP(-Input_Pricing!$D$9*Input_Pricing!$D$8)*S10-Input_Pricing!$D$6*EXP(-Input_Pricing!$D$11*Input_Pricing!$D$8)*R10</f>
        <v>3.7146007621605648</v>
      </c>
      <c r="W10">
        <v>0.5</v>
      </c>
      <c r="X10">
        <f>(LN(Input_Pricing!$D$6/Input_Pricing!$D$7)+(Input_Pricing!$D$9-Input_Pricing!$D$11+0.5*Input_Pricing!$D$10^2)*W10)/(Input_Pricing!$D$10*SQRT(W10))</f>
        <v>0.24748737341529162</v>
      </c>
      <c r="Y10">
        <f>X10-Input_Pricing!$D$10*SQRT(W10)</f>
        <v>0.10606601717798209</v>
      </c>
      <c r="Z10">
        <f t="shared" si="8"/>
        <v>0.59773446890843829</v>
      </c>
      <c r="AA10">
        <f t="shared" si="9"/>
        <v>0.54223501331161406</v>
      </c>
      <c r="AB10">
        <f t="shared" si="10"/>
        <v>0.40226553109156171</v>
      </c>
      <c r="AC10">
        <f t="shared" si="11"/>
        <v>0.457764986688386</v>
      </c>
      <c r="AD10">
        <f>Input_Pricing!$D$6*EXP(-Input_Pricing!$D$11*W10)*Z10-Input_Pricing!$D$7*EXP(-Input_Pricing!$D$9*W10)*AA10</f>
        <v>6.8887285776806237</v>
      </c>
      <c r="AE10">
        <f>Input_Pricing!$D$7*EXP(-Input_Pricing!$D$9*W10)*AC10-Input_Pricing!$D$6*EXP(-Input_Pricing!$D$11*W10)*AB10</f>
        <v>4.419719780513887</v>
      </c>
    </row>
    <row r="11" spans="3:31" x14ac:dyDescent="0.45">
      <c r="C11">
        <v>75</v>
      </c>
      <c r="D11">
        <f>(LN(C11/Input_Pricing!$D$7)+(Input_Pricing!$D$9-Input_Pricing!$D$11+0.5*Input_Pricing!$D$10^2)*Input_Pricing!$D$8)/(Input_Pricing!$D$10*SQRT(Input_Pricing!$D$8))</f>
        <v>-1.0884103622589043</v>
      </c>
      <c r="E11">
        <f>D11-Input_Pricing!$D$10*SQRT(Input_Pricing!$D$8)</f>
        <v>-1.2884103622589043</v>
      </c>
      <c r="F11">
        <f t="shared" si="0"/>
        <v>0.13820699431731612</v>
      </c>
      <c r="G11">
        <f t="shared" si="1"/>
        <v>9.88015767617475E-2</v>
      </c>
      <c r="H11">
        <f t="shared" si="2"/>
        <v>0.86179300568268391</v>
      </c>
      <c r="I11">
        <f t="shared" si="3"/>
        <v>0.9011984232382525</v>
      </c>
      <c r="J11">
        <f>C11*EXP(-Input_Pricing!$D$11*Input_Pricing!$D$8)*F11-Input_Pricing!$D$7*EXP(-Input_Pricing!$D$9*Input_Pricing!$D$8)*G11</f>
        <v>0.96722787351468931</v>
      </c>
      <c r="K11">
        <f>Input_Pricing!$D$7*EXP(-Input_Pricing!$D$9*Input_Pricing!$D$8)*I11-C11*EXP(-Input_Pricing!$D$11*Input_Pricing!$D$8)*H11</f>
        <v>21.090170323586094</v>
      </c>
      <c r="M11" s="1">
        <v>0.2</v>
      </c>
      <c r="N11">
        <f>(LN(Input_Pricing!$D$6/Input_Pricing!$D$7)+(Input_Pricing!$D$9-Input_Pricing!$D$11+0.5*M11^2)*Input_Pricing!$D$8)/(M11*SQRT(Input_Pricing!$D$8))</f>
        <v>0.35000000000000003</v>
      </c>
      <c r="O11">
        <f>N11-M11*SQRT(Input_Pricing!$D$8)</f>
        <v>0.15000000000000002</v>
      </c>
      <c r="P11">
        <f t="shared" si="4"/>
        <v>0.6368306511756191</v>
      </c>
      <c r="Q11">
        <f t="shared" si="5"/>
        <v>0.5596176923702425</v>
      </c>
      <c r="R11">
        <f t="shared" si="6"/>
        <v>0.3631693488243809</v>
      </c>
      <c r="S11">
        <f t="shared" si="7"/>
        <v>0.44038230762975744</v>
      </c>
      <c r="T11">
        <f>Input_Pricing!$D$6*EXP(-Input_Pricing!$D$11*Input_Pricing!$D$8)*P11-Input_Pricing!$D$7*EXP(-Input_Pricing!$D$9*Input_Pricing!$D$8)*Q11</f>
        <v>10.450583572185565</v>
      </c>
      <c r="U11">
        <f>Input_Pricing!$D$7*EXP(-Input_Pricing!$D$9*Input_Pricing!$D$8)*S11-Input_Pricing!$D$6*EXP(-Input_Pricing!$D$11*Input_Pricing!$D$8)*R11</f>
        <v>5.5735260222569707</v>
      </c>
      <c r="W11">
        <v>0.75</v>
      </c>
      <c r="X11">
        <f>(LN(Input_Pricing!$D$6/Input_Pricing!$D$7)+(Input_Pricing!$D$9-Input_Pricing!$D$11+0.5*Input_Pricing!$D$10^2)*W11)/(Input_Pricing!$D$10*SQRT(W11))</f>
        <v>0.30310889132455354</v>
      </c>
      <c r="Y11">
        <f>X11-Input_Pricing!$D$10*SQRT(W11)</f>
        <v>0.12990381056766581</v>
      </c>
      <c r="Z11">
        <f t="shared" si="8"/>
        <v>0.61909656079420272</v>
      </c>
      <c r="AA11">
        <f t="shared" si="9"/>
        <v>0.55167873527964117</v>
      </c>
      <c r="AB11">
        <f t="shared" si="10"/>
        <v>0.38090343920579722</v>
      </c>
      <c r="AC11">
        <f t="shared" si="11"/>
        <v>0.44832126472035883</v>
      </c>
      <c r="AD11">
        <f>Input_Pricing!$D$6*EXP(-Input_Pricing!$D$11*W11)*Z11-Input_Pricing!$D$7*EXP(-Input_Pricing!$D$9*W11)*AA11</f>
        <v>8.7722682597569346</v>
      </c>
      <c r="AE11">
        <f>Input_Pricing!$D$7*EXP(-Input_Pricing!$D$9*W11)*AC11-Input_Pricing!$D$6*EXP(-Input_Pricing!$D$11*W11)*AB11</f>
        <v>5.0917100318391277</v>
      </c>
    </row>
    <row r="12" spans="3:31" x14ac:dyDescent="0.45">
      <c r="C12">
        <v>80</v>
      </c>
      <c r="D12">
        <f>(LN(C12/Input_Pricing!$D$7)+(Input_Pricing!$D$9-Input_Pricing!$D$11+0.5*Input_Pricing!$D$10^2)*Input_Pricing!$D$8)/(Input_Pricing!$D$10*SQRT(Input_Pricing!$D$8))</f>
        <v>-0.76571775657104846</v>
      </c>
      <c r="E12">
        <f>D12-Input_Pricing!$D$10*SQRT(Input_Pricing!$D$8)</f>
        <v>-0.96571775657104841</v>
      </c>
      <c r="F12">
        <f t="shared" si="0"/>
        <v>0.22192212964817964</v>
      </c>
      <c r="G12">
        <f t="shared" si="1"/>
        <v>0.16709271590694225</v>
      </c>
      <c r="H12">
        <f t="shared" si="2"/>
        <v>0.7780778703518203</v>
      </c>
      <c r="I12">
        <f t="shared" si="3"/>
        <v>0.83290728409305781</v>
      </c>
      <c r="J12">
        <f>C12*EXP(-Input_Pricing!$D$11*Input_Pricing!$D$8)*F12-Input_Pricing!$D$7*EXP(-Input_Pricing!$D$9*Input_Pricing!$D$8)*G12</f>
        <v>1.8594195728121736</v>
      </c>
      <c r="K12">
        <f>Input_Pricing!$D$7*EXP(-Input_Pricing!$D$9*Input_Pricing!$D$8)*I12-C12*EXP(-Input_Pricing!$D$11*Input_Pricing!$D$8)*H12</f>
        <v>16.982362022883592</v>
      </c>
      <c r="M12" s="1">
        <v>0.25</v>
      </c>
      <c r="N12">
        <f>(LN(Input_Pricing!$D$6/Input_Pricing!$D$7)+(Input_Pricing!$D$9-Input_Pricing!$D$11+0.5*M12^2)*Input_Pricing!$D$8)/(M12*SQRT(Input_Pricing!$D$8))</f>
        <v>0.32500000000000001</v>
      </c>
      <c r="O12">
        <f>N12-M12*SQRT(Input_Pricing!$D$8)</f>
        <v>7.5000000000000011E-2</v>
      </c>
      <c r="P12">
        <f t="shared" si="4"/>
        <v>0.62740946415328402</v>
      </c>
      <c r="Q12">
        <f t="shared" si="5"/>
        <v>0.52989264405289482</v>
      </c>
      <c r="R12">
        <f t="shared" si="6"/>
        <v>0.37259053584671598</v>
      </c>
      <c r="S12">
        <f t="shared" si="7"/>
        <v>0.47010735594710523</v>
      </c>
      <c r="T12">
        <f>Input_Pricing!$D$6*EXP(-Input_Pricing!$D$11*Input_Pricing!$D$8)*P12-Input_Pricing!$D$7*EXP(-Input_Pricing!$D$9*Input_Pricing!$D$8)*Q12</f>
        <v>12.335998930368717</v>
      </c>
      <c r="U12">
        <f>Input_Pricing!$D$7*EXP(-Input_Pricing!$D$9*Input_Pricing!$D$8)*S12-Input_Pricing!$D$6*EXP(-Input_Pricing!$D$11*Input_Pricing!$D$8)*R12</f>
        <v>7.4589413804401232</v>
      </c>
      <c r="W12">
        <v>1</v>
      </c>
      <c r="X12">
        <f>(LN(Input_Pricing!$D$6/Input_Pricing!$D$7)+(Input_Pricing!$D$9-Input_Pricing!$D$11+0.5*Input_Pricing!$D$10^2)*W12)/(Input_Pricing!$D$10*SQRT(W12))</f>
        <v>0.35000000000000003</v>
      </c>
      <c r="Y12">
        <f>X12-Input_Pricing!$D$10*SQRT(W12)</f>
        <v>0.15000000000000002</v>
      </c>
      <c r="Z12">
        <f t="shared" si="8"/>
        <v>0.6368306511756191</v>
      </c>
      <c r="AA12">
        <f t="shared" si="9"/>
        <v>0.5596176923702425</v>
      </c>
      <c r="AB12">
        <f t="shared" si="10"/>
        <v>0.3631693488243809</v>
      </c>
      <c r="AC12">
        <f t="shared" si="11"/>
        <v>0.44038230762975744</v>
      </c>
      <c r="AD12">
        <f>Input_Pricing!$D$6*EXP(-Input_Pricing!$D$11*W12)*Z12-Input_Pricing!$D$7*EXP(-Input_Pricing!$D$9*W12)*AA12</f>
        <v>10.450583572185565</v>
      </c>
      <c r="AE12">
        <f>Input_Pricing!$D$7*EXP(-Input_Pricing!$D$9*W12)*AC12-Input_Pricing!$D$6*EXP(-Input_Pricing!$D$11*W12)*AB12</f>
        <v>5.5735260222569707</v>
      </c>
    </row>
    <row r="13" spans="3:31" x14ac:dyDescent="0.45">
      <c r="C13">
        <v>85</v>
      </c>
      <c r="D13">
        <f>(LN(C13/Input_Pricing!$D$7)+(Input_Pricing!$D$9-Input_Pricing!$D$11+0.5*Input_Pricing!$D$10^2)*Input_Pricing!$D$8)/(Input_Pricing!$D$10*SQRT(Input_Pricing!$D$8))</f>
        <v>-0.46259464748887463</v>
      </c>
      <c r="E13">
        <f>D13-Input_Pricing!$D$10*SQRT(Input_Pricing!$D$8)</f>
        <v>-0.66259464748887464</v>
      </c>
      <c r="F13">
        <f t="shared" si="0"/>
        <v>0.32182747298832592</v>
      </c>
      <c r="G13">
        <f t="shared" si="1"/>
        <v>0.2537950995737065</v>
      </c>
      <c r="H13">
        <f t="shared" si="2"/>
        <v>0.67817252701167408</v>
      </c>
      <c r="I13">
        <f t="shared" si="3"/>
        <v>0.7462049004262935</v>
      </c>
      <c r="J13">
        <f>C13*EXP(-Input_Pricing!$D$11*Input_Pricing!$D$8)*F13-Input_Pricing!$D$7*EXP(-Input_Pricing!$D$9*Input_Pricing!$D$8)*G13</f>
        <v>3.2135985531478788</v>
      </c>
      <c r="K13">
        <f>Input_Pricing!$D$7*EXP(-Input_Pricing!$D$9*Input_Pricing!$D$8)*I13-C13*EXP(-Input_Pricing!$D$11*Input_Pricing!$D$8)*H13</f>
        <v>13.336541003219281</v>
      </c>
      <c r="M13" s="1">
        <v>0.3</v>
      </c>
      <c r="N13">
        <f>(LN(Input_Pricing!$D$6/Input_Pricing!$D$7)+(Input_Pricing!$D$9-Input_Pricing!$D$11+0.5*M13^2)*Input_Pricing!$D$8)/(M13*SQRT(Input_Pricing!$D$8))</f>
        <v>0.31666666666666671</v>
      </c>
      <c r="O13">
        <f>N13-M13*SQRT(Input_Pricing!$D$8)</f>
        <v>1.6666666666666718E-2</v>
      </c>
      <c r="P13">
        <f t="shared" si="4"/>
        <v>0.62425172790601247</v>
      </c>
      <c r="Q13">
        <f t="shared" si="5"/>
        <v>0.50664873019368262</v>
      </c>
      <c r="R13">
        <f t="shared" si="6"/>
        <v>0.37574827209398748</v>
      </c>
      <c r="S13">
        <f t="shared" si="7"/>
        <v>0.49335126980631744</v>
      </c>
      <c r="T13">
        <f>Input_Pricing!$D$6*EXP(-Input_Pricing!$D$11*Input_Pricing!$D$8)*P13-Input_Pricing!$D$7*EXP(-Input_Pricing!$D$9*Input_Pricing!$D$8)*Q13</f>
        <v>14.231254785985819</v>
      </c>
      <c r="U13">
        <f>Input_Pricing!$D$7*EXP(-Input_Pricing!$D$9*Input_Pricing!$D$8)*S13-Input_Pricing!$D$6*EXP(-Input_Pricing!$D$11*Input_Pricing!$D$8)*R13</f>
        <v>9.3541972360572387</v>
      </c>
      <c r="W13">
        <v>1.5</v>
      </c>
      <c r="X13">
        <f>(LN(Input_Pricing!$D$6/Input_Pricing!$D$7)+(Input_Pricing!$D$9-Input_Pricing!$D$11+0.5*Input_Pricing!$D$10^2)*W13)/(Input_Pricing!$D$10*SQRT(W13))</f>
        <v>0.42866070498705622</v>
      </c>
      <c r="Y13">
        <f>X13-Input_Pricing!$D$10*SQRT(W13)</f>
        <v>0.18371173070873842</v>
      </c>
      <c r="Z13">
        <f t="shared" si="8"/>
        <v>0.66591491944679648</v>
      </c>
      <c r="AA13">
        <f t="shared" si="9"/>
        <v>0.57288019711595339</v>
      </c>
      <c r="AB13">
        <f t="shared" si="10"/>
        <v>0.33408508055320352</v>
      </c>
      <c r="AC13">
        <f t="shared" si="11"/>
        <v>0.42711980288404661</v>
      </c>
      <c r="AD13">
        <f>Input_Pricing!$D$6*EXP(-Input_Pricing!$D$11*W13)*Z13-Input_Pricing!$D$7*EXP(-Input_Pricing!$D$9*W13)*AA13</f>
        <v>13.442904812585333</v>
      </c>
      <c r="AE13">
        <f>Input_Pricing!$D$7*EXP(-Input_Pricing!$D$9*W13)*AC13-Input_Pricing!$D$6*EXP(-Input_Pricing!$D$11*W13)*AB13</f>
        <v>6.2172534454406119</v>
      </c>
    </row>
    <row r="14" spans="3:31" x14ac:dyDescent="0.45">
      <c r="C14">
        <v>90</v>
      </c>
      <c r="D14">
        <f>(LN(C14/Input_Pricing!$D$7)+(Input_Pricing!$D$9-Input_Pricing!$D$11+0.5*Input_Pricing!$D$10^2)*Input_Pricing!$D$8)/(Input_Pricing!$D$10*SQRT(Input_Pricing!$D$8))</f>
        <v>-0.17680257828913137</v>
      </c>
      <c r="E14">
        <f>D14-Input_Pricing!$D$10*SQRT(Input_Pricing!$D$8)</f>
        <v>-0.37680257828913138</v>
      </c>
      <c r="F14">
        <f t="shared" si="0"/>
        <v>0.4298317318895431</v>
      </c>
      <c r="G14">
        <f t="shared" si="1"/>
        <v>0.35316016226972924</v>
      </c>
      <c r="H14">
        <f t="shared" si="2"/>
        <v>0.57016826811045696</v>
      </c>
      <c r="I14">
        <f t="shared" si="3"/>
        <v>0.64683983773027076</v>
      </c>
      <c r="J14">
        <f>C14*EXP(-Input_Pricing!$D$11*Input_Pricing!$D$8)*F14-Input_Pricing!$D$7*EXP(-Input_Pricing!$D$9*Input_Pricing!$D$8)*G14</f>
        <v>5.0912220788175517</v>
      </c>
      <c r="K14">
        <f>Input_Pricing!$D$7*EXP(-Input_Pricing!$D$9*Input_Pricing!$D$8)*I14-C14*EXP(-Input_Pricing!$D$11*Input_Pricing!$D$8)*H14</f>
        <v>10.214164528888951</v>
      </c>
      <c r="M14" s="1">
        <v>0.35</v>
      </c>
      <c r="N14">
        <f>(LN(Input_Pricing!$D$6/Input_Pricing!$D$7)+(Input_Pricing!$D$9-Input_Pricing!$D$11+0.5*M14^2)*Input_Pricing!$D$8)/(M14*SQRT(Input_Pricing!$D$8))</f>
        <v>0.31785714285714284</v>
      </c>
      <c r="O14">
        <f>N14-M14*SQRT(Input_Pricing!$D$8)</f>
        <v>-3.214285714285714E-2</v>
      </c>
      <c r="P14">
        <f t="shared" si="4"/>
        <v>0.62470334853983167</v>
      </c>
      <c r="Q14">
        <f t="shared" si="5"/>
        <v>0.48717906299767211</v>
      </c>
      <c r="R14">
        <f t="shared" si="6"/>
        <v>0.37529665146016838</v>
      </c>
      <c r="S14">
        <f t="shared" si="7"/>
        <v>0.51282093700232789</v>
      </c>
      <c r="T14">
        <f>Input_Pricing!$D$6*EXP(-Input_Pricing!$D$11*Input_Pricing!$D$8)*P14-Input_Pricing!$D$7*EXP(-Input_Pricing!$D$9*Input_Pricing!$D$8)*Q14</f>
        <v>16.128428881575893</v>
      </c>
      <c r="U14">
        <f>Input_Pricing!$D$7*EXP(-Input_Pricing!$D$9*Input_Pricing!$D$8)*S14-Input_Pricing!$D$6*EXP(-Input_Pricing!$D$11*Input_Pricing!$D$8)*R14</f>
        <v>11.251371331647292</v>
      </c>
      <c r="W14">
        <v>2</v>
      </c>
      <c r="X14">
        <f>(LN(Input_Pricing!$D$6/Input_Pricing!$D$7)+(Input_Pricing!$D$9-Input_Pricing!$D$11+0.5*Input_Pricing!$D$10^2)*W14)/(Input_Pricing!$D$10*SQRT(W14))</f>
        <v>0.49497474683058323</v>
      </c>
      <c r="Y14">
        <f>X14-Input_Pricing!$D$10*SQRT(W14)</f>
        <v>0.21213203435596417</v>
      </c>
      <c r="Z14">
        <f t="shared" si="8"/>
        <v>0.68969102678115513</v>
      </c>
      <c r="AA14">
        <f t="shared" si="9"/>
        <v>0.58399798571368167</v>
      </c>
      <c r="AB14">
        <f t="shared" si="10"/>
        <v>0.31030897321884482</v>
      </c>
      <c r="AC14">
        <f t="shared" si="11"/>
        <v>0.41600201428631828</v>
      </c>
      <c r="AD14">
        <f>Input_Pricing!$D$6*EXP(-Input_Pricing!$D$11*W14)*Z14-Input_Pricing!$D$7*EXP(-Input_Pricing!$D$9*W14)*AA14</f>
        <v>16.126779724978633</v>
      </c>
      <c r="AE14">
        <f>Input_Pricing!$D$7*EXP(-Input_Pricing!$D$9*W14)*AC14-Input_Pricing!$D$6*EXP(-Input_Pricing!$D$11*W14)*AB14</f>
        <v>6.6105215285745729</v>
      </c>
    </row>
    <row r="15" spans="3:31" x14ac:dyDescent="0.45">
      <c r="C15">
        <v>95</v>
      </c>
      <c r="D15">
        <f>(LN(C15/Input_Pricing!$D$7)+(Input_Pricing!$D$9-Input_Pricing!$D$11+0.5*Input_Pricing!$D$10^2)*Input_Pricing!$D$8)/(Input_Pricing!$D$10*SQRT(Input_Pricing!$D$8))</f>
        <v>9.3533528062247143E-2</v>
      </c>
      <c r="E15">
        <f>D15-Input_Pricing!$D$10*SQRT(Input_Pricing!$D$8)</f>
        <v>-0.10646647193775287</v>
      </c>
      <c r="F15">
        <f t="shared" si="0"/>
        <v>0.53726014255325238</v>
      </c>
      <c r="G15">
        <f t="shared" si="1"/>
        <v>0.45760612784927152</v>
      </c>
      <c r="H15">
        <f t="shared" si="2"/>
        <v>0.46273985744674762</v>
      </c>
      <c r="I15">
        <f t="shared" si="3"/>
        <v>0.54239387215072843</v>
      </c>
      <c r="J15">
        <f>C15*EXP(-Input_Pricing!$D$11*Input_Pricing!$D$8)*F15-Input_Pricing!$D$7*EXP(-Input_Pricing!$D$9*Input_Pricing!$D$8)*G15</f>
        <v>7.5108721783527059</v>
      </c>
      <c r="K15">
        <f>Input_Pricing!$D$7*EXP(-Input_Pricing!$D$9*Input_Pricing!$D$8)*I15-C15*EXP(-Input_Pricing!$D$11*Input_Pricing!$D$8)*H15</f>
        <v>7.6338146284241049</v>
      </c>
      <c r="M15" s="1">
        <v>0.4</v>
      </c>
      <c r="N15">
        <f>(LN(Input_Pricing!$D$6/Input_Pricing!$D$7)+(Input_Pricing!$D$9-Input_Pricing!$D$11+0.5*M15^2)*Input_Pricing!$D$8)/(M15*SQRT(Input_Pricing!$D$8))</f>
        <v>0.32500000000000001</v>
      </c>
      <c r="O15">
        <f>N15-M15*SQRT(Input_Pricing!$D$8)</f>
        <v>-7.5000000000000011E-2</v>
      </c>
      <c r="P15">
        <f t="shared" si="4"/>
        <v>0.62740946415328402</v>
      </c>
      <c r="Q15">
        <f t="shared" si="5"/>
        <v>0.47010735594710523</v>
      </c>
      <c r="R15">
        <f t="shared" si="6"/>
        <v>0.37259053584671598</v>
      </c>
      <c r="S15">
        <f t="shared" si="7"/>
        <v>0.52989264405289482</v>
      </c>
      <c r="T15">
        <f>Input_Pricing!$D$6*EXP(-Input_Pricing!$D$11*Input_Pricing!$D$8)*P15-Input_Pricing!$D$7*EXP(-Input_Pricing!$D$9*Input_Pricing!$D$8)*Q15</f>
        <v>18.022951450216681</v>
      </c>
      <c r="U15">
        <f>Input_Pricing!$D$7*EXP(-Input_Pricing!$D$9*Input_Pricing!$D$8)*S15-Input_Pricing!$D$6*EXP(-Input_Pricing!$D$11*Input_Pricing!$D$8)*R15</f>
        <v>13.145893900288087</v>
      </c>
      <c r="W15">
        <v>3</v>
      </c>
      <c r="X15">
        <f>(LN(Input_Pricing!$D$6/Input_Pricing!$D$7)+(Input_Pricing!$D$9-Input_Pricing!$D$11+0.5*Input_Pricing!$D$10^2)*W15)/(Input_Pricing!$D$10*SQRT(W15))</f>
        <v>0.60621778264910708</v>
      </c>
      <c r="Y15">
        <f>X15-Input_Pricing!$D$10*SQRT(W15)</f>
        <v>0.25980762113533162</v>
      </c>
      <c r="Z15">
        <f t="shared" si="8"/>
        <v>0.72781492707169515</v>
      </c>
      <c r="AA15">
        <f t="shared" si="9"/>
        <v>0.60249391401788088</v>
      </c>
      <c r="AB15">
        <f t="shared" si="10"/>
        <v>0.27218507292830485</v>
      </c>
      <c r="AC15">
        <f t="shared" si="11"/>
        <v>0.39750608598211906</v>
      </c>
      <c r="AD15">
        <f>Input_Pricing!$D$6*EXP(-Input_Pricing!$D$11*W15)*Z15-Input_Pricing!$D$7*EXP(-Input_Pricing!$D$9*W15)*AA15</f>
        <v>20.924360952895213</v>
      </c>
      <c r="AE15">
        <f>Input_Pricing!$D$7*EXP(-Input_Pricing!$D$9*W15)*AC15-Input_Pricing!$D$6*EXP(-Input_Pricing!$D$11*W15)*AB15</f>
        <v>6.9951585954009907</v>
      </c>
    </row>
    <row r="16" spans="3:31" x14ac:dyDescent="0.45">
      <c r="C16">
        <v>100</v>
      </c>
      <c r="D16">
        <f>(LN(C16/Input_Pricing!$D$7)+(Input_Pricing!$D$9-Input_Pricing!$D$11+0.5*Input_Pricing!$D$10^2)*Input_Pricing!$D$8)/(Input_Pricing!$D$10*SQRT(Input_Pricing!$D$8))</f>
        <v>0.35000000000000003</v>
      </c>
      <c r="E16">
        <f>D16-Input_Pricing!$D$10*SQRT(Input_Pricing!$D$8)</f>
        <v>0.15000000000000002</v>
      </c>
      <c r="F16">
        <f t="shared" si="0"/>
        <v>0.6368306511756191</v>
      </c>
      <c r="G16">
        <f t="shared" si="1"/>
        <v>0.5596176923702425</v>
      </c>
      <c r="H16">
        <f t="shared" si="2"/>
        <v>0.3631693488243809</v>
      </c>
      <c r="I16">
        <f t="shared" si="3"/>
        <v>0.44038230762975744</v>
      </c>
      <c r="J16">
        <f>C16*EXP(-Input_Pricing!$D$11*Input_Pricing!$D$8)*F16-Input_Pricing!$D$7*EXP(-Input_Pricing!$D$9*Input_Pricing!$D$8)*G16</f>
        <v>10.450583572185565</v>
      </c>
      <c r="K16">
        <f>Input_Pricing!$D$7*EXP(-Input_Pricing!$D$9*Input_Pricing!$D$8)*I16-C16*EXP(-Input_Pricing!$D$11*Input_Pricing!$D$8)*H16</f>
        <v>5.5735260222569707</v>
      </c>
      <c r="M16" s="1">
        <v>0.45</v>
      </c>
      <c r="N16">
        <f>(LN(Input_Pricing!$D$6/Input_Pricing!$D$7)+(Input_Pricing!$D$9-Input_Pricing!$D$11+0.5*M16^2)*Input_Pricing!$D$8)/(M16*SQRT(Input_Pricing!$D$8))</f>
        <v>0.33611111111111108</v>
      </c>
      <c r="O16">
        <f>N16-M16*SQRT(Input_Pricing!$D$8)</f>
        <v>-0.11388888888888893</v>
      </c>
      <c r="P16">
        <f t="shared" si="4"/>
        <v>0.63160646004647802</v>
      </c>
      <c r="Q16">
        <f t="shared" si="5"/>
        <v>0.45466293681864173</v>
      </c>
      <c r="R16">
        <f t="shared" si="6"/>
        <v>0.36839353995352198</v>
      </c>
      <c r="S16">
        <f t="shared" si="7"/>
        <v>0.54533706318135833</v>
      </c>
      <c r="T16">
        <f>Input_Pricing!$D$6*EXP(-Input_Pricing!$D$11*Input_Pricing!$D$8)*P16-Input_Pricing!$D$7*EXP(-Input_Pricing!$D$9*Input_Pricing!$D$8)*Q16</f>
        <v>19.911769631467692</v>
      </c>
      <c r="U16">
        <f>Input_Pricing!$D$7*EXP(-Input_Pricing!$D$9*Input_Pricing!$D$8)*S16-Input_Pricing!$D$6*EXP(-Input_Pricing!$D$11*Input_Pricing!$D$8)*R16</f>
        <v>15.034712081539105</v>
      </c>
    </row>
    <row r="17" spans="3:21" x14ac:dyDescent="0.45">
      <c r="C17">
        <v>105</v>
      </c>
      <c r="D17">
        <f>(LN(C17/Input_Pricing!$D$7)+(Input_Pricing!$D$9-Input_Pricing!$D$11+0.5*Input_Pricing!$D$10^2)*Input_Pricing!$D$8)/(Input_Pricing!$D$10*SQRT(Input_Pricing!$D$8))</f>
        <v>0.59395082084716022</v>
      </c>
      <c r="E17">
        <f>D17-Input_Pricing!$D$10*SQRT(Input_Pricing!$D$8)</f>
        <v>0.39395082084716021</v>
      </c>
      <c r="F17">
        <f t="shared" si="0"/>
        <v>0.72372749676293524</v>
      </c>
      <c r="G17">
        <f t="shared" si="1"/>
        <v>0.65319132580079731</v>
      </c>
      <c r="H17">
        <f t="shared" si="2"/>
        <v>0.27627250323706481</v>
      </c>
      <c r="I17">
        <f t="shared" si="3"/>
        <v>0.34680867419920269</v>
      </c>
      <c r="J17">
        <f>C17*EXP(-Input_Pricing!$D$11*Input_Pricing!$D$8)*F17-Input_Pricing!$D$7*EXP(-Input_Pricing!$D$9*Input_Pricing!$D$8)*G17</f>
        <v>13.857906267073119</v>
      </c>
      <c r="K17">
        <f>Input_Pricing!$D$7*EXP(-Input_Pricing!$D$9*Input_Pricing!$D$8)*I17-C17*EXP(-Input_Pricing!$D$11*Input_Pricing!$D$8)*H17</f>
        <v>3.9808487171445144</v>
      </c>
      <c r="M17" s="1">
        <v>0.5</v>
      </c>
      <c r="N17">
        <f>(LN(Input_Pricing!$D$6/Input_Pricing!$D$7)+(Input_Pricing!$D$9-Input_Pricing!$D$11+0.5*M17^2)*Input_Pricing!$D$8)/(M17*SQRT(Input_Pricing!$D$8))</f>
        <v>0.35</v>
      </c>
      <c r="O17">
        <f>N17-M17*SQRT(Input_Pricing!$D$8)</f>
        <v>-0.15000000000000002</v>
      </c>
      <c r="P17">
        <f t="shared" si="4"/>
        <v>0.6368306511756191</v>
      </c>
      <c r="Q17">
        <f t="shared" si="5"/>
        <v>0.44038230762975744</v>
      </c>
      <c r="R17">
        <f t="shared" si="6"/>
        <v>0.3631693488243809</v>
      </c>
      <c r="S17">
        <f t="shared" si="7"/>
        <v>0.5596176923702425</v>
      </c>
      <c r="T17">
        <f>Input_Pricing!$D$6*EXP(-Input_Pricing!$D$11*Input_Pricing!$D$8)*P17-Input_Pricing!$D$7*EXP(-Input_Pricing!$D$9*Input_Pricing!$D$8)*Q17</f>
        <v>21.792604212866848</v>
      </c>
      <c r="U17">
        <f>Input_Pricing!$D$7*EXP(-Input_Pricing!$D$9*Input_Pricing!$D$8)*S17-Input_Pricing!$D$6*EXP(-Input_Pricing!$D$11*Input_Pricing!$D$8)*R17</f>
        <v>16.915546662938254</v>
      </c>
    </row>
    <row r="18" spans="3:21" x14ac:dyDescent="0.45">
      <c r="C18">
        <v>110</v>
      </c>
      <c r="D18">
        <f>(LN(C18/Input_Pricing!$D$7)+(Input_Pricing!$D$9-Input_Pricing!$D$11+0.5*Input_Pricing!$D$10^2)*Input_Pricing!$D$8)/(Input_Pricing!$D$10*SQRT(Input_Pricing!$D$8))</f>
        <v>0.82655089902162471</v>
      </c>
      <c r="E18">
        <f>D18-Input_Pricing!$D$10*SQRT(Input_Pricing!$D$8)</f>
        <v>0.62655089902162464</v>
      </c>
      <c r="F18">
        <f t="shared" si="0"/>
        <v>0.79575417130958659</v>
      </c>
      <c r="G18">
        <f t="shared" si="1"/>
        <v>0.73452316868917078</v>
      </c>
      <c r="H18">
        <f t="shared" si="2"/>
        <v>0.20424582869041341</v>
      </c>
      <c r="I18">
        <f t="shared" si="3"/>
        <v>0.26547683131082922</v>
      </c>
      <c r="J18">
        <f>C18*EXP(-Input_Pricing!$D$11*Input_Pricing!$D$8)*F18-Input_Pricing!$D$7*EXP(-Input_Pricing!$D$9*Input_Pricing!$D$8)*G18</f>
        <v>17.662953740590439</v>
      </c>
      <c r="K18">
        <f>Input_Pricing!$D$7*EXP(-Input_Pricing!$D$9*Input_Pricing!$D$8)*I18-C18*EXP(-Input_Pricing!$D$11*Input_Pricing!$D$8)*H18</f>
        <v>2.7858961906618482</v>
      </c>
    </row>
    <row r="19" spans="3:21" x14ac:dyDescent="0.45">
      <c r="C19">
        <v>115</v>
      </c>
      <c r="D19">
        <f>(LN(C19/Input_Pricing!$D$7)+(Input_Pricing!$D$9-Input_Pricing!$D$11+0.5*Input_Pricing!$D$10^2)*Input_Pricing!$D$8)/(Input_Pricing!$D$10*SQRT(Input_Pricing!$D$8))</f>
        <v>1.0488097118757931</v>
      </c>
      <c r="E19">
        <f>D19-Input_Pricing!$D$10*SQRT(Input_Pricing!$D$8)</f>
        <v>0.84880971187579313</v>
      </c>
      <c r="F19">
        <f t="shared" si="0"/>
        <v>0.85286714664627372</v>
      </c>
      <c r="G19">
        <f t="shared" si="1"/>
        <v>0.80200640740621953</v>
      </c>
      <c r="H19">
        <f t="shared" si="2"/>
        <v>0.14713285335372631</v>
      </c>
      <c r="I19">
        <f t="shared" si="3"/>
        <v>0.19799359259378047</v>
      </c>
      <c r="J19">
        <f>C19*EXP(-Input_Pricing!$D$11*Input_Pricing!$D$8)*F19-Input_Pricing!$D$7*EXP(-Input_Pricing!$D$9*Input_Pricing!$D$8)*G19</f>
        <v>21.790512528031144</v>
      </c>
      <c r="K19">
        <f>Input_Pricing!$D$7*EXP(-Input_Pricing!$D$9*Input_Pricing!$D$8)*I19-C19*EXP(-Input_Pricing!$D$11*Input_Pricing!$D$8)*H19</f>
        <v>1.9134549781025392</v>
      </c>
    </row>
    <row r="20" spans="3:21" x14ac:dyDescent="0.45">
      <c r="C20">
        <v>120</v>
      </c>
      <c r="D20">
        <f>(LN(C20/Input_Pricing!$D$7)+(Input_Pricing!$D$9-Input_Pricing!$D$11+0.5*Input_Pricing!$D$10^2)*Input_Pricing!$D$8)/(Input_Pricing!$D$10*SQRT(Input_Pricing!$D$8))</f>
        <v>1.261607783969773</v>
      </c>
      <c r="E20">
        <f>D20-Input_Pricing!$D$10*SQRT(Input_Pricing!$D$8)</f>
        <v>1.0616077839697731</v>
      </c>
      <c r="F20">
        <f t="shared" si="0"/>
        <v>0.89645502307708047</v>
      </c>
      <c r="G20">
        <f t="shared" si="1"/>
        <v>0.85579311074329834</v>
      </c>
      <c r="H20">
        <f t="shared" si="2"/>
        <v>0.10354497692291953</v>
      </c>
      <c r="I20">
        <f t="shared" si="3"/>
        <v>0.14420688925670169</v>
      </c>
      <c r="J20">
        <f>C20*EXP(-Input_Pricing!$D$11*Input_Pricing!$D$8)*F20-Input_Pricing!$D$7*EXP(-Input_Pricing!$D$9*Input_Pricing!$D$8)*G20</f>
        <v>26.169043946847296</v>
      </c>
      <c r="K20">
        <f>Input_Pricing!$D$7*EXP(-Input_Pricing!$D$9*Input_Pricing!$D$8)*I20-C20*EXP(-Input_Pricing!$D$11*Input_Pricing!$D$8)*H20</f>
        <v>1.2919863969187126</v>
      </c>
    </row>
    <row r="21" spans="3:21" x14ac:dyDescent="0.45">
      <c r="C21">
        <v>125</v>
      </c>
      <c r="D21">
        <f>(LN(C21/Input_Pricing!$D$7)+(Input_Pricing!$D$9-Input_Pricing!$D$11+0.5*Input_Pricing!$D$10^2)*Input_Pricing!$D$8)/(Input_Pricing!$D$10*SQRT(Input_Pricing!$D$8))</f>
        <v>1.4657177565710489</v>
      </c>
      <c r="E21">
        <f>D21-Input_Pricing!$D$10*SQRT(Input_Pricing!$D$8)</f>
        <v>1.2657177565710489</v>
      </c>
      <c r="F21">
        <f t="shared" si="0"/>
        <v>0.92863740266492811</v>
      </c>
      <c r="G21">
        <f t="shared" si="1"/>
        <v>0.89719292559733332</v>
      </c>
      <c r="H21">
        <f t="shared" si="2"/>
        <v>7.1362597335071859E-2</v>
      </c>
      <c r="I21">
        <f t="shared" si="3"/>
        <v>0.10280707440266669</v>
      </c>
      <c r="J21">
        <f>C21*EXP(-Input_Pricing!$D$11*Input_Pricing!$D$8)*F21-Input_Pricing!$D$7*EXP(-Input_Pricing!$D$9*Input_Pricing!$D$8)*G21</f>
        <v>30.736044304909683</v>
      </c>
      <c r="K21">
        <f>Input_Pricing!$D$7*EXP(-Input_Pricing!$D$9*Input_Pricing!$D$8)*I21-C21*EXP(-Input_Pricing!$D$11*Input_Pricing!$D$8)*H21</f>
        <v>0.85898675498109078</v>
      </c>
    </row>
    <row r="22" spans="3:21" x14ac:dyDescent="0.45">
      <c r="C22">
        <v>130</v>
      </c>
      <c r="D22">
        <f>(LN(C22/Input_Pricing!$D$7)+(Input_Pricing!$D$9-Input_Pricing!$D$11+0.5*Input_Pricing!$D$10^2)*Input_Pricing!$D$8)/(Input_Pricing!$D$10*SQRT(Input_Pricing!$D$8))</f>
        <v>1.6618213223374552</v>
      </c>
      <c r="E22">
        <f>D22-Input_Pricing!$D$10*SQRT(Input_Pricing!$D$8)</f>
        <v>1.4618213223374552</v>
      </c>
      <c r="F22">
        <f t="shared" si="0"/>
        <v>0.95172569716748268</v>
      </c>
      <c r="G22">
        <f t="shared" si="1"/>
        <v>0.92810491023994268</v>
      </c>
      <c r="H22">
        <f t="shared" si="2"/>
        <v>4.8274302832517282E-2</v>
      </c>
      <c r="I22">
        <f t="shared" si="3"/>
        <v>7.189508976005729E-2</v>
      </c>
      <c r="J22">
        <f>C22*EXP(-Input_Pricing!$D$11*Input_Pricing!$D$8)*F22-Input_Pricing!$D$7*EXP(-Input_Pricing!$D$9*Input_Pricing!$D$8)*G22</f>
        <v>35.440270667389996</v>
      </c>
      <c r="K22">
        <f>Input_Pricing!$D$7*EXP(-Input_Pricing!$D$9*Input_Pricing!$D$8)*I22-C22*EXP(-Input_Pricing!$D$11*Input_Pricing!$D$8)*H22</f>
        <v>0.56321311746140079</v>
      </c>
    </row>
    <row r="23" spans="3:21" x14ac:dyDescent="0.45">
      <c r="C23">
        <v>135</v>
      </c>
      <c r="D23">
        <f>(LN(C23/Input_Pricing!$D$7)+(Input_Pricing!$D$9-Input_Pricing!$D$11+0.5*Input_Pricing!$D$10^2)*Input_Pricing!$D$8)/(Input_Pricing!$D$10*SQRT(Input_Pricing!$D$8))</f>
        <v>1.8505229622516908</v>
      </c>
      <c r="E23">
        <f>D23-Input_Pricing!$D$10*SQRT(Input_Pricing!$D$8)</f>
        <v>1.6505229622516908</v>
      </c>
      <c r="F23">
        <f t="shared" si="0"/>
        <v>0.96788089418668477</v>
      </c>
      <c r="G23">
        <f t="shared" si="1"/>
        <v>0.95058198959185258</v>
      </c>
      <c r="H23">
        <f t="shared" si="2"/>
        <v>3.2119105813315285E-2</v>
      </c>
      <c r="I23">
        <f t="shared" si="3"/>
        <v>4.9418010408147452E-2</v>
      </c>
      <c r="J23">
        <f>C23*EXP(-Input_Pricing!$D$11*Input_Pricing!$D$8)*F23-Input_Pricing!$D$7*EXP(-Input_Pricing!$D$9*Input_Pricing!$D$8)*G23</f>
        <v>40.241764825182273</v>
      </c>
      <c r="K23">
        <f>Input_Pricing!$D$7*EXP(-Input_Pricing!$D$9*Input_Pricing!$D$8)*I23-C23*EXP(-Input_Pricing!$D$11*Input_Pricing!$D$8)*H23</f>
        <v>0.36470727525367685</v>
      </c>
    </row>
    <row r="24" spans="3:21" x14ac:dyDescent="0.45">
      <c r="C24">
        <v>140</v>
      </c>
      <c r="D24">
        <f>(LN(C24/Input_Pricing!$D$7)+(Input_Pricing!$D$9-Input_Pricing!$D$11+0.5*Input_Pricing!$D$10^2)*Input_Pricing!$D$8)/(Input_Pricing!$D$10*SQRT(Input_Pricing!$D$8))</f>
        <v>2.0323611831060644</v>
      </c>
      <c r="E24">
        <f>D24-Input_Pricing!$D$10*SQRT(Input_Pricing!$D$8)</f>
        <v>1.8323611831060644</v>
      </c>
      <c r="F24">
        <f t="shared" si="0"/>
        <v>0.97894144763979696</v>
      </c>
      <c r="G24">
        <f t="shared" si="1"/>
        <v>0.96655118639654458</v>
      </c>
      <c r="H24">
        <f t="shared" si="2"/>
        <v>2.1058552360203008E-2</v>
      </c>
      <c r="I24">
        <f t="shared" si="3"/>
        <v>3.3448813603455405E-2</v>
      </c>
      <c r="J24">
        <f>C24*EXP(-Input_Pricing!$D$11*Input_Pricing!$D$8)*F24-Input_Pricing!$D$7*EXP(-Input_Pricing!$D$9*Input_Pricing!$D$8)*G24</f>
        <v>45.110609790924826</v>
      </c>
      <c r="K24">
        <f>Input_Pricing!$D$7*EXP(-Input_Pricing!$D$9*Input_Pricing!$D$8)*I24-C24*EXP(-Input_Pricing!$D$11*Input_Pricing!$D$8)*H24</f>
        <v>0.23355224099623317</v>
      </c>
    </row>
    <row r="51" spans="5:14" x14ac:dyDescent="0.45">
      <c r="E51" t="s">
        <v>84</v>
      </c>
      <c r="F51" t="s">
        <v>24</v>
      </c>
      <c r="G51" t="s">
        <v>25</v>
      </c>
      <c r="H51" t="s">
        <v>32</v>
      </c>
      <c r="I51" t="s">
        <v>33</v>
      </c>
      <c r="J51" t="s">
        <v>54</v>
      </c>
      <c r="K51" t="s">
        <v>55</v>
      </c>
      <c r="L51" t="s">
        <v>56</v>
      </c>
      <c r="M51" t="s">
        <v>57</v>
      </c>
      <c r="N51" t="s">
        <v>58</v>
      </c>
    </row>
    <row r="52" spans="5:14" x14ac:dyDescent="0.45">
      <c r="E52">
        <v>60</v>
      </c>
      <c r="F52">
        <f>(LN(E52/Input_Pricing!$D$7)+(Input_Pricing!$D$9-Input_Pricing!$D$11+0.5*Input_Pricing!$D$10^2)*Input_Pricing!$D$8)/(Input_Pricing!$D$10*SQRT(Input_Pricing!$D$8))</f>
        <v>-2.2041281188299533</v>
      </c>
      <c r="G52">
        <f>F52-Input_Pricing!$D$10*SQRT(Input_Pricing!$D$8)</f>
        <v>-2.4041281188299535</v>
      </c>
      <c r="H52">
        <f>_xlfn.NORM.S.DIST(F52,TRUE)</f>
        <v>1.3757667572379631E-2</v>
      </c>
      <c r="I52">
        <f>_xlfn.NORM.S.DIST(G52,TRUE)</f>
        <v>8.1055453543928818E-3</v>
      </c>
      <c r="J52">
        <f>_xlfn.NORM.S.DIST(F52,FALSE)</f>
        <v>3.5153576533189165E-2</v>
      </c>
      <c r="K52">
        <f>EXP(-Input_Pricing!$D$11*Input_Pricing!$D$8)*H52</f>
        <v>1.3757667572379631E-2</v>
      </c>
      <c r="L52">
        <f>EXP(-Input_Pricing!$D$11*Input_Pricing!$D$8)*(H52-1)</f>
        <v>-0.98624233242762038</v>
      </c>
      <c r="M52">
        <f>EXP(-Input_Pricing!$D$11*Input_Pricing!$D$8)*J52/(E52*Input_Pricing!$D$10*SQRT(Input_Pricing!$D$8))</f>
        <v>2.9294647110990973E-3</v>
      </c>
      <c r="N52">
        <f>E52*EXP(-Input_Pricing!$D$11*Input_Pricing!$D$8)*J52*SQRT(Input_Pricing!$D$8)/100</f>
        <v>2.1092145919913499E-2</v>
      </c>
    </row>
    <row r="53" spans="5:14" x14ac:dyDescent="0.45">
      <c r="E53">
        <v>65</v>
      </c>
      <c r="F53">
        <f>(LN(E53/Input_Pricing!$D$7)+(Input_Pricing!$D$9-Input_Pricing!$D$11+0.5*Input_Pricing!$D$10^2)*Input_Pricing!$D$8)/(Input_Pricing!$D$10*SQRT(Input_Pricing!$D$8))</f>
        <v>-1.8039145804622709</v>
      </c>
      <c r="G53">
        <f>F53-Input_Pricing!$D$10*SQRT(Input_Pricing!$D$8)</f>
        <v>-2.0039145804622711</v>
      </c>
      <c r="H53">
        <f t="shared" ref="H53:H68" si="12">_xlfn.NORM.S.DIST(F53,TRUE)</f>
        <v>3.5622349442744658E-2</v>
      </c>
      <c r="I53">
        <f t="shared" ref="I53:I68" si="13">_xlfn.NORM.S.DIST(G53,TRUE)</f>
        <v>2.2539605701555516E-2</v>
      </c>
      <c r="J53">
        <f t="shared" ref="J53:J68" si="14">_xlfn.NORM.S.DIST(F53,FALSE)</f>
        <v>7.8395210817206282E-2</v>
      </c>
      <c r="K53">
        <f>EXP(-Input_Pricing!$D$11*Input_Pricing!$D$8)*H53</f>
        <v>3.5622349442744658E-2</v>
      </c>
      <c r="L53">
        <f>EXP(-Input_Pricing!$D$11*Input_Pricing!$D$8)*(H53-1)</f>
        <v>-0.96437765055725533</v>
      </c>
      <c r="M53">
        <f>EXP(-Input_Pricing!$D$11*Input_Pricing!$D$8)*J53/(E53*Input_Pricing!$D$10*SQRT(Input_Pricing!$D$8))</f>
        <v>6.0304008320927905E-3</v>
      </c>
      <c r="N53">
        <f>E53*EXP(-Input_Pricing!$D$11*Input_Pricing!$D$8)*J53*SQRT(Input_Pricing!$D$8)/100</f>
        <v>5.0956887031184082E-2</v>
      </c>
    </row>
    <row r="54" spans="5:14" x14ac:dyDescent="0.45">
      <c r="E54">
        <v>70</v>
      </c>
      <c r="F54">
        <f>(LN(E54/Input_Pricing!$D$7)+(Input_Pricing!$D$9-Input_Pricing!$D$11+0.5*Input_Pricing!$D$10^2)*Input_Pricing!$D$8)/(Input_Pricing!$D$10*SQRT(Input_Pricing!$D$8))</f>
        <v>-1.4333747196936621</v>
      </c>
      <c r="G54">
        <f>F54-Input_Pricing!$D$10*SQRT(Input_Pricing!$D$8)</f>
        <v>-1.6333747196936621</v>
      </c>
      <c r="H54">
        <f t="shared" si="12"/>
        <v>7.5875389491867534E-2</v>
      </c>
      <c r="I54">
        <f t="shared" si="13"/>
        <v>5.1195105289887979E-2</v>
      </c>
      <c r="J54">
        <f t="shared" si="14"/>
        <v>0.14281287433497425</v>
      </c>
      <c r="K54">
        <f>EXP(-Input_Pricing!$D$11*Input_Pricing!$D$8)*H54</f>
        <v>7.5875389491867534E-2</v>
      </c>
      <c r="L54">
        <f>EXP(-Input_Pricing!$D$11*Input_Pricing!$D$8)*(H54-1)</f>
        <v>-0.92412461050813244</v>
      </c>
      <c r="M54">
        <f>EXP(-Input_Pricing!$D$11*Input_Pricing!$D$8)*J54/(E54*Input_Pricing!$D$10*SQRT(Input_Pricing!$D$8))</f>
        <v>1.0200919595355304E-2</v>
      </c>
      <c r="N54">
        <f>E54*EXP(-Input_Pricing!$D$11*Input_Pricing!$D$8)*J54*SQRT(Input_Pricing!$D$8)/100</f>
        <v>9.9969012034481983E-2</v>
      </c>
    </row>
    <row r="55" spans="5:14" x14ac:dyDescent="0.45">
      <c r="E55">
        <v>75</v>
      </c>
      <c r="F55">
        <f>(LN(E55/Input_Pricing!$D$7)+(Input_Pricing!$D$9-Input_Pricing!$D$11+0.5*Input_Pricing!$D$10^2)*Input_Pricing!$D$8)/(Input_Pricing!$D$10*SQRT(Input_Pricing!$D$8))</f>
        <v>-1.0884103622589043</v>
      </c>
      <c r="G55">
        <f>F55-Input_Pricing!$D$10*SQRT(Input_Pricing!$D$8)</f>
        <v>-1.2884103622589043</v>
      </c>
      <c r="H55">
        <f t="shared" si="12"/>
        <v>0.13820699431731612</v>
      </c>
      <c r="I55">
        <f t="shared" si="13"/>
        <v>9.88015767617475E-2</v>
      </c>
      <c r="J55">
        <f t="shared" si="14"/>
        <v>0.22063244837137005</v>
      </c>
      <c r="K55">
        <f>EXP(-Input_Pricing!$D$11*Input_Pricing!$D$8)*H55</f>
        <v>0.13820699431731612</v>
      </c>
      <c r="L55">
        <f>EXP(-Input_Pricing!$D$11*Input_Pricing!$D$8)*(H55-1)</f>
        <v>-0.86179300568268391</v>
      </c>
      <c r="M55">
        <f>EXP(-Input_Pricing!$D$11*Input_Pricing!$D$8)*J55/(E55*Input_Pricing!$D$10*SQRT(Input_Pricing!$D$8))</f>
        <v>1.470882989142467E-2</v>
      </c>
      <c r="N55">
        <f>E55*EXP(-Input_Pricing!$D$11*Input_Pricing!$D$8)*J55*SQRT(Input_Pricing!$D$8)/100</f>
        <v>0.16547433627852753</v>
      </c>
    </row>
    <row r="56" spans="5:14" x14ac:dyDescent="0.45">
      <c r="E56">
        <v>80</v>
      </c>
      <c r="F56">
        <f>(LN(E56/Input_Pricing!$D$7)+(Input_Pricing!$D$9-Input_Pricing!$D$11+0.5*Input_Pricing!$D$10^2)*Input_Pricing!$D$8)/(Input_Pricing!$D$10*SQRT(Input_Pricing!$D$8))</f>
        <v>-0.76571775657104846</v>
      </c>
      <c r="G56">
        <f>F56-Input_Pricing!$D$10*SQRT(Input_Pricing!$D$8)</f>
        <v>-0.96571775657104841</v>
      </c>
      <c r="H56">
        <f t="shared" si="12"/>
        <v>0.22192212964817964</v>
      </c>
      <c r="I56">
        <f t="shared" si="13"/>
        <v>0.16709271590694225</v>
      </c>
      <c r="J56">
        <f t="shared" si="14"/>
        <v>0.297571610747006</v>
      </c>
      <c r="K56">
        <f>EXP(-Input_Pricing!$D$11*Input_Pricing!$D$8)*H56</f>
        <v>0.22192212964817964</v>
      </c>
      <c r="L56">
        <f>EXP(-Input_Pricing!$D$11*Input_Pricing!$D$8)*(H56-1)</f>
        <v>-0.7780778703518203</v>
      </c>
      <c r="M56">
        <f>EXP(-Input_Pricing!$D$11*Input_Pricing!$D$8)*J56/(E56*Input_Pricing!$D$10*SQRT(Input_Pricing!$D$8))</f>
        <v>1.8598225671687875E-2</v>
      </c>
      <c r="N56">
        <f>E56*EXP(-Input_Pricing!$D$11*Input_Pricing!$D$8)*J56*SQRT(Input_Pricing!$D$8)/100</f>
        <v>0.23805728859760478</v>
      </c>
    </row>
    <row r="57" spans="5:14" x14ac:dyDescent="0.45">
      <c r="E57">
        <v>85</v>
      </c>
      <c r="F57">
        <f>(LN(E57/Input_Pricing!$D$7)+(Input_Pricing!$D$9-Input_Pricing!$D$11+0.5*Input_Pricing!$D$10^2)*Input_Pricing!$D$8)/(Input_Pricing!$D$10*SQRT(Input_Pricing!$D$8))</f>
        <v>-0.46259464748887463</v>
      </c>
      <c r="G57">
        <f>F57-Input_Pricing!$D$10*SQRT(Input_Pricing!$D$8)</f>
        <v>-0.66259464748887464</v>
      </c>
      <c r="H57">
        <f t="shared" si="12"/>
        <v>0.32182747298832592</v>
      </c>
      <c r="I57">
        <f t="shared" si="13"/>
        <v>0.2537950995737065</v>
      </c>
      <c r="J57">
        <f t="shared" si="14"/>
        <v>0.3584609907960416</v>
      </c>
      <c r="K57">
        <f>EXP(-Input_Pricing!$D$11*Input_Pricing!$D$8)*H57</f>
        <v>0.32182747298832592</v>
      </c>
      <c r="L57">
        <f>EXP(-Input_Pricing!$D$11*Input_Pricing!$D$8)*(H57-1)</f>
        <v>-0.67817252701167408</v>
      </c>
      <c r="M57">
        <f>EXP(-Input_Pricing!$D$11*Input_Pricing!$D$8)*J57/(E57*Input_Pricing!$D$10*SQRT(Input_Pricing!$D$8))</f>
        <v>2.1085940635061272E-2</v>
      </c>
      <c r="N57">
        <f>E57*EXP(-Input_Pricing!$D$11*Input_Pricing!$D$8)*J57*SQRT(Input_Pricing!$D$8)/100</f>
        <v>0.30469184217663536</v>
      </c>
    </row>
    <row r="58" spans="5:14" x14ac:dyDescent="0.45">
      <c r="E58">
        <v>90</v>
      </c>
      <c r="F58">
        <f>(LN(E58/Input_Pricing!$D$7)+(Input_Pricing!$D$9-Input_Pricing!$D$11+0.5*Input_Pricing!$D$10^2)*Input_Pricing!$D$8)/(Input_Pricing!$D$10*SQRT(Input_Pricing!$D$8))</f>
        <v>-0.17680257828913137</v>
      </c>
      <c r="G58">
        <f>F58-Input_Pricing!$D$10*SQRT(Input_Pricing!$D$8)</f>
        <v>-0.37680257828913138</v>
      </c>
      <c r="H58">
        <f t="shared" si="12"/>
        <v>0.4298317318895431</v>
      </c>
      <c r="I58">
        <f t="shared" si="13"/>
        <v>0.35316016226972924</v>
      </c>
      <c r="J58">
        <f t="shared" si="14"/>
        <v>0.39275545643388166</v>
      </c>
      <c r="K58">
        <f>EXP(-Input_Pricing!$D$11*Input_Pricing!$D$8)*H58</f>
        <v>0.4298317318895431</v>
      </c>
      <c r="L58">
        <f>EXP(-Input_Pricing!$D$11*Input_Pricing!$D$8)*(H58-1)</f>
        <v>-0.57016826811045696</v>
      </c>
      <c r="M58">
        <f>EXP(-Input_Pricing!$D$11*Input_Pricing!$D$8)*J58/(E58*Input_Pricing!$D$10*SQRT(Input_Pricing!$D$8))</f>
        <v>2.1819747579660091E-2</v>
      </c>
      <c r="N58">
        <f>E58*EXP(-Input_Pricing!$D$11*Input_Pricing!$D$8)*J58*SQRT(Input_Pricing!$D$8)/100</f>
        <v>0.35347991079049351</v>
      </c>
    </row>
    <row r="59" spans="5:14" x14ac:dyDescent="0.45">
      <c r="E59">
        <v>95</v>
      </c>
      <c r="F59">
        <f>(LN(E59/Input_Pricing!$D$7)+(Input_Pricing!$D$9-Input_Pricing!$D$11+0.5*Input_Pricing!$D$10^2)*Input_Pricing!$D$8)/(Input_Pricing!$D$10*SQRT(Input_Pricing!$D$8))</f>
        <v>9.3533528062247143E-2</v>
      </c>
      <c r="G59">
        <f>F59-Input_Pricing!$D$10*SQRT(Input_Pricing!$D$8)</f>
        <v>-0.10646647193775287</v>
      </c>
      <c r="H59">
        <f t="shared" si="12"/>
        <v>0.53726014255325238</v>
      </c>
      <c r="I59">
        <f t="shared" si="13"/>
        <v>0.45760612784927152</v>
      </c>
      <c r="J59">
        <f t="shared" si="14"/>
        <v>0.39720101412064152</v>
      </c>
      <c r="K59">
        <f>EXP(-Input_Pricing!$D$11*Input_Pricing!$D$8)*H59</f>
        <v>0.53726014255325238</v>
      </c>
      <c r="L59">
        <f>EXP(-Input_Pricing!$D$11*Input_Pricing!$D$8)*(H59-1)</f>
        <v>-0.46273985744674762</v>
      </c>
      <c r="M59">
        <f>EXP(-Input_Pricing!$D$11*Input_Pricing!$D$8)*J59/(E59*Input_Pricing!$D$10*SQRT(Input_Pricing!$D$8))</f>
        <v>2.0905316532665343E-2</v>
      </c>
      <c r="N59">
        <f>E59*EXP(-Input_Pricing!$D$11*Input_Pricing!$D$8)*J59*SQRT(Input_Pricing!$D$8)/100</f>
        <v>0.37734096341460943</v>
      </c>
    </row>
    <row r="60" spans="5:14" x14ac:dyDescent="0.45">
      <c r="E60">
        <v>100</v>
      </c>
      <c r="F60">
        <f>(LN(E60/Input_Pricing!$D$7)+(Input_Pricing!$D$9-Input_Pricing!$D$11+0.5*Input_Pricing!$D$10^2)*Input_Pricing!$D$8)/(Input_Pricing!$D$10*SQRT(Input_Pricing!$D$8))</f>
        <v>0.35000000000000003</v>
      </c>
      <c r="G60">
        <f>F60-Input_Pricing!$D$10*SQRT(Input_Pricing!$D$8)</f>
        <v>0.15000000000000002</v>
      </c>
      <c r="H60">
        <f t="shared" si="12"/>
        <v>0.6368306511756191</v>
      </c>
      <c r="I60">
        <f t="shared" si="13"/>
        <v>0.5596176923702425</v>
      </c>
      <c r="J60">
        <f t="shared" si="14"/>
        <v>0.37524034691693792</v>
      </c>
      <c r="K60">
        <f>EXP(-Input_Pricing!$D$11*Input_Pricing!$D$8)*H60</f>
        <v>0.6368306511756191</v>
      </c>
      <c r="L60">
        <f>EXP(-Input_Pricing!$D$11*Input_Pricing!$D$8)*(H60-1)</f>
        <v>-0.3631693488243809</v>
      </c>
      <c r="M60">
        <f>EXP(-Input_Pricing!$D$11*Input_Pricing!$D$8)*J60/(E60*Input_Pricing!$D$10*SQRT(Input_Pricing!$D$8))</f>
        <v>1.8762017345846895E-2</v>
      </c>
      <c r="N60">
        <f>E60*EXP(-Input_Pricing!$D$11*Input_Pricing!$D$8)*J60*SQRT(Input_Pricing!$D$8)/100</f>
        <v>0.37524034691693792</v>
      </c>
    </row>
    <row r="61" spans="5:14" x14ac:dyDescent="0.45">
      <c r="E61">
        <v>105</v>
      </c>
      <c r="F61">
        <f>(LN(E61/Input_Pricing!$D$7)+(Input_Pricing!$D$9-Input_Pricing!$D$11+0.5*Input_Pricing!$D$10^2)*Input_Pricing!$D$8)/(Input_Pricing!$D$10*SQRT(Input_Pricing!$D$8))</f>
        <v>0.59395082084716022</v>
      </c>
      <c r="G61">
        <f>F61-Input_Pricing!$D$10*SQRT(Input_Pricing!$D$8)</f>
        <v>0.39395082084716021</v>
      </c>
      <c r="H61">
        <f t="shared" si="12"/>
        <v>0.72372749676293524</v>
      </c>
      <c r="I61">
        <f t="shared" si="13"/>
        <v>0.65319132580079731</v>
      </c>
      <c r="J61">
        <f t="shared" si="14"/>
        <v>0.3344301226956049</v>
      </c>
      <c r="K61">
        <f>EXP(-Input_Pricing!$D$11*Input_Pricing!$D$8)*H61</f>
        <v>0.72372749676293524</v>
      </c>
      <c r="L61">
        <f>EXP(-Input_Pricing!$D$11*Input_Pricing!$D$8)*(H61-1)</f>
        <v>-0.27627250323706476</v>
      </c>
      <c r="M61">
        <f>EXP(-Input_Pricing!$D$11*Input_Pricing!$D$8)*J61/(E61*Input_Pricing!$D$10*SQRT(Input_Pricing!$D$8))</f>
        <v>1.5925243937885948E-2</v>
      </c>
      <c r="N61">
        <f>E61*EXP(-Input_Pricing!$D$11*Input_Pricing!$D$8)*J61*SQRT(Input_Pricing!$D$8)/100</f>
        <v>0.35115162883038514</v>
      </c>
    </row>
    <row r="62" spans="5:14" x14ac:dyDescent="0.45">
      <c r="E62">
        <v>110</v>
      </c>
      <c r="F62">
        <f>(LN(E62/Input_Pricing!$D$7)+(Input_Pricing!$D$9-Input_Pricing!$D$11+0.5*Input_Pricing!$D$10^2)*Input_Pricing!$D$8)/(Input_Pricing!$D$10*SQRT(Input_Pricing!$D$8))</f>
        <v>0.82655089902162471</v>
      </c>
      <c r="G62">
        <f>F62-Input_Pricing!$D$10*SQRT(Input_Pricing!$D$8)</f>
        <v>0.62655089902162464</v>
      </c>
      <c r="H62">
        <f t="shared" si="12"/>
        <v>0.79575417130958659</v>
      </c>
      <c r="I62">
        <f t="shared" si="13"/>
        <v>0.73452316868917078</v>
      </c>
      <c r="J62">
        <f t="shared" si="14"/>
        <v>0.28350323993388893</v>
      </c>
      <c r="K62">
        <f>EXP(-Input_Pricing!$D$11*Input_Pricing!$D$8)*H62</f>
        <v>0.79575417130958659</v>
      </c>
      <c r="L62">
        <f>EXP(-Input_Pricing!$D$11*Input_Pricing!$D$8)*(H62-1)</f>
        <v>-0.20424582869041341</v>
      </c>
      <c r="M62">
        <f>EXP(-Input_Pricing!$D$11*Input_Pricing!$D$8)*J62/(E62*Input_Pricing!$D$10*SQRT(Input_Pricing!$D$8))</f>
        <v>1.2886510906085861E-2</v>
      </c>
      <c r="N62">
        <f>E62*EXP(-Input_Pricing!$D$11*Input_Pricing!$D$8)*J62*SQRT(Input_Pricing!$D$8)/100</f>
        <v>0.31185356392727781</v>
      </c>
    </row>
    <row r="63" spans="5:14" x14ac:dyDescent="0.45">
      <c r="E63">
        <v>115</v>
      </c>
      <c r="F63">
        <f>(LN(E63/Input_Pricing!$D$7)+(Input_Pricing!$D$9-Input_Pricing!$D$11+0.5*Input_Pricing!$D$10^2)*Input_Pricing!$D$8)/(Input_Pricing!$D$10*SQRT(Input_Pricing!$D$8))</f>
        <v>1.0488097118757931</v>
      </c>
      <c r="G63">
        <f>F63-Input_Pricing!$D$10*SQRT(Input_Pricing!$D$8)</f>
        <v>0.84880971187579313</v>
      </c>
      <c r="H63">
        <f t="shared" si="12"/>
        <v>0.85286714664627372</v>
      </c>
      <c r="I63">
        <f t="shared" si="13"/>
        <v>0.80200640740621953</v>
      </c>
      <c r="J63">
        <f t="shared" si="14"/>
        <v>0.23016946452838638</v>
      </c>
      <c r="K63">
        <f>EXP(-Input_Pricing!$D$11*Input_Pricing!$D$8)*H63</f>
        <v>0.85286714664627372</v>
      </c>
      <c r="L63">
        <f>EXP(-Input_Pricing!$D$11*Input_Pricing!$D$8)*(H63-1)</f>
        <v>-0.14713285335372628</v>
      </c>
      <c r="M63">
        <f>EXP(-Input_Pricing!$D$11*Input_Pricing!$D$8)*J63/(E63*Input_Pricing!$D$10*SQRT(Input_Pricing!$D$8))</f>
        <v>1.000736802297332E-2</v>
      </c>
      <c r="N63">
        <f>E63*EXP(-Input_Pricing!$D$11*Input_Pricing!$D$8)*J63*SQRT(Input_Pricing!$D$8)/100</f>
        <v>0.26469488420764437</v>
      </c>
    </row>
    <row r="64" spans="5:14" x14ac:dyDescent="0.45">
      <c r="E64">
        <v>120</v>
      </c>
      <c r="F64">
        <f>(LN(E64/Input_Pricing!$D$7)+(Input_Pricing!$D$9-Input_Pricing!$D$11+0.5*Input_Pricing!$D$10^2)*Input_Pricing!$D$8)/(Input_Pricing!$D$10*SQRT(Input_Pricing!$D$8))</f>
        <v>1.261607783969773</v>
      </c>
      <c r="G64">
        <f>F64-Input_Pricing!$D$10*SQRT(Input_Pricing!$D$8)</f>
        <v>1.0616077839697731</v>
      </c>
      <c r="H64">
        <f t="shared" si="12"/>
        <v>0.89645502307708047</v>
      </c>
      <c r="I64">
        <f t="shared" si="13"/>
        <v>0.85579311074329834</v>
      </c>
      <c r="J64">
        <f t="shared" si="14"/>
        <v>0.18000590312491957</v>
      </c>
      <c r="K64">
        <f>EXP(-Input_Pricing!$D$11*Input_Pricing!$D$8)*H64</f>
        <v>0.89645502307708047</v>
      </c>
      <c r="L64">
        <f>EXP(-Input_Pricing!$D$11*Input_Pricing!$D$8)*(H64-1)</f>
        <v>-0.10354497692291953</v>
      </c>
      <c r="M64">
        <f>EXP(-Input_Pricing!$D$11*Input_Pricing!$D$8)*J64/(E64*Input_Pricing!$D$10*SQRT(Input_Pricing!$D$8))</f>
        <v>7.5002459635383151E-3</v>
      </c>
      <c r="N64">
        <f>E64*EXP(-Input_Pricing!$D$11*Input_Pricing!$D$8)*J64*SQRT(Input_Pricing!$D$8)/100</f>
        <v>0.21600708374990346</v>
      </c>
    </row>
    <row r="65" spans="5:14" x14ac:dyDescent="0.45">
      <c r="E65">
        <v>125</v>
      </c>
      <c r="F65">
        <f>(LN(E65/Input_Pricing!$D$7)+(Input_Pricing!$D$9-Input_Pricing!$D$11+0.5*Input_Pricing!$D$10^2)*Input_Pricing!$D$8)/(Input_Pricing!$D$10*SQRT(Input_Pricing!$D$8))</f>
        <v>1.4657177565710489</v>
      </c>
      <c r="G65">
        <f>F65-Input_Pricing!$D$10*SQRT(Input_Pricing!$D$8)</f>
        <v>1.2657177565710489</v>
      </c>
      <c r="H65">
        <f t="shared" si="12"/>
        <v>0.92863740266492811</v>
      </c>
      <c r="I65">
        <f t="shared" si="13"/>
        <v>0.89719292559733332</v>
      </c>
      <c r="J65">
        <f t="shared" si="14"/>
        <v>0.1362719436399436</v>
      </c>
      <c r="K65">
        <f>EXP(-Input_Pricing!$D$11*Input_Pricing!$D$8)*H65</f>
        <v>0.92863740266492811</v>
      </c>
      <c r="L65">
        <f>EXP(-Input_Pricing!$D$11*Input_Pricing!$D$8)*(H65-1)</f>
        <v>-7.1362597335071887E-2</v>
      </c>
      <c r="M65">
        <f>EXP(-Input_Pricing!$D$11*Input_Pricing!$D$8)*J65/(E65*Input_Pricing!$D$10*SQRT(Input_Pricing!$D$8))</f>
        <v>5.4508777455977439E-3</v>
      </c>
      <c r="N65">
        <f>E65*EXP(-Input_Pricing!$D$11*Input_Pricing!$D$8)*J65*SQRT(Input_Pricing!$D$8)/100</f>
        <v>0.17033992954992949</v>
      </c>
    </row>
    <row r="66" spans="5:14" x14ac:dyDescent="0.45">
      <c r="E66">
        <v>130</v>
      </c>
      <c r="F66">
        <f>(LN(E66/Input_Pricing!$D$7)+(Input_Pricing!$D$9-Input_Pricing!$D$11+0.5*Input_Pricing!$D$10^2)*Input_Pricing!$D$8)/(Input_Pricing!$D$10*SQRT(Input_Pricing!$D$8))</f>
        <v>1.6618213223374552</v>
      </c>
      <c r="G66">
        <f>F66-Input_Pricing!$D$10*SQRT(Input_Pricing!$D$8)</f>
        <v>1.4618213223374552</v>
      </c>
      <c r="H66">
        <f t="shared" si="12"/>
        <v>0.95172569716748268</v>
      </c>
      <c r="I66">
        <f t="shared" si="13"/>
        <v>0.92810491023994268</v>
      </c>
      <c r="J66">
        <f t="shared" si="14"/>
        <v>0.10028254902962719</v>
      </c>
      <c r="K66">
        <f>EXP(-Input_Pricing!$D$11*Input_Pricing!$D$8)*H66</f>
        <v>0.95172569716748268</v>
      </c>
      <c r="L66">
        <f>EXP(-Input_Pricing!$D$11*Input_Pricing!$D$8)*(H66-1)</f>
        <v>-4.8274302832517324E-2</v>
      </c>
      <c r="M66">
        <f>EXP(-Input_Pricing!$D$11*Input_Pricing!$D$8)*J66/(E66*Input_Pricing!$D$10*SQRT(Input_Pricing!$D$8))</f>
        <v>3.8570211165241228E-3</v>
      </c>
      <c r="N66">
        <f>E66*EXP(-Input_Pricing!$D$11*Input_Pricing!$D$8)*J66*SQRT(Input_Pricing!$D$8)/100</f>
        <v>0.13036731373851534</v>
      </c>
    </row>
    <row r="67" spans="5:14" x14ac:dyDescent="0.45">
      <c r="E67">
        <v>135</v>
      </c>
      <c r="F67">
        <f>(LN(E67/Input_Pricing!$D$7)+(Input_Pricing!$D$9-Input_Pricing!$D$11+0.5*Input_Pricing!$D$10^2)*Input_Pricing!$D$8)/(Input_Pricing!$D$10*SQRT(Input_Pricing!$D$8))</f>
        <v>1.8505229622516908</v>
      </c>
      <c r="G67">
        <f>F67-Input_Pricing!$D$10*SQRT(Input_Pricing!$D$8)</f>
        <v>1.6505229622516908</v>
      </c>
      <c r="H67">
        <f t="shared" si="12"/>
        <v>0.96788089418668477</v>
      </c>
      <c r="I67">
        <f t="shared" si="13"/>
        <v>0.95058198959185258</v>
      </c>
      <c r="J67">
        <f t="shared" si="14"/>
        <v>7.199517687082653E-2</v>
      </c>
      <c r="K67">
        <f>EXP(-Input_Pricing!$D$11*Input_Pricing!$D$8)*H67</f>
        <v>0.96788089418668477</v>
      </c>
      <c r="L67">
        <f>EXP(-Input_Pricing!$D$11*Input_Pricing!$D$8)*(H67-1)</f>
        <v>-3.211910581331523E-2</v>
      </c>
      <c r="M67">
        <f>EXP(-Input_Pricing!$D$11*Input_Pricing!$D$8)*J67/(E67*Input_Pricing!$D$10*SQRT(Input_Pricing!$D$8))</f>
        <v>2.6664880322528344E-3</v>
      </c>
      <c r="N67">
        <f>E67*EXP(-Input_Pricing!$D$11*Input_Pricing!$D$8)*J67*SQRT(Input_Pricing!$D$8)/100</f>
        <v>9.7193488775615802E-2</v>
      </c>
    </row>
    <row r="68" spans="5:14" x14ac:dyDescent="0.45">
      <c r="E68">
        <v>140</v>
      </c>
      <c r="F68">
        <f>(LN(E68/Input_Pricing!$D$7)+(Input_Pricing!$D$9-Input_Pricing!$D$11+0.5*Input_Pricing!$D$10^2)*Input_Pricing!$D$8)/(Input_Pricing!$D$10*SQRT(Input_Pricing!$D$8))</f>
        <v>2.0323611831060644</v>
      </c>
      <c r="G68">
        <f>F68-Input_Pricing!$D$10*SQRT(Input_Pricing!$D$8)</f>
        <v>1.8323611831060644</v>
      </c>
      <c r="H68">
        <f t="shared" si="12"/>
        <v>0.97894144763979696</v>
      </c>
      <c r="I68">
        <f t="shared" si="13"/>
        <v>0.96655118639654458</v>
      </c>
      <c r="J68">
        <f t="shared" si="14"/>
        <v>5.0580734186041407E-2</v>
      </c>
      <c r="K68">
        <f>EXP(-Input_Pricing!$D$11*Input_Pricing!$D$8)*H68</f>
        <v>0.97894144763979696</v>
      </c>
      <c r="L68">
        <f>EXP(-Input_Pricing!$D$11*Input_Pricing!$D$8)*(H68-1)</f>
        <v>-2.1058552360203042E-2</v>
      </c>
      <c r="M68">
        <f>EXP(-Input_Pricing!$D$11*Input_Pricing!$D$8)*J68/(E68*Input_Pricing!$D$10*SQRT(Input_Pricing!$D$8))</f>
        <v>1.8064547923586217E-3</v>
      </c>
      <c r="N68">
        <f>E68*EXP(-Input_Pricing!$D$11*Input_Pricing!$D$8)*J68*SQRT(Input_Pricing!$D$8)/100</f>
        <v>7.0813027860457969E-2</v>
      </c>
    </row>
  </sheetData>
  <mergeCells count="1">
    <mergeCell ref="E2:I4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DashboardBlack-Scholes Option P</vt:lpstr>
      <vt:lpstr>Input_Pricing</vt:lpstr>
      <vt:lpstr>SensitivityBlack-Scholes Sens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La Rosa</dc:creator>
  <cp:lastModifiedBy>Guillermo De La Rosa</cp:lastModifiedBy>
  <dcterms:created xsi:type="dcterms:W3CDTF">2026-05-05T16:34:42Z</dcterms:created>
  <dcterms:modified xsi:type="dcterms:W3CDTF">2026-05-06T14:40:33Z</dcterms:modified>
</cp:coreProperties>
</file>